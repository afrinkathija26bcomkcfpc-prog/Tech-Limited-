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f0dfecb005ccab/Financial Statement Preparation and Financial Statement Analysis/"/>
    </mc:Choice>
  </mc:AlternateContent>
  <xr:revisionPtr revIDLastSave="6" documentId="8_{DAF2B85F-0737-4147-8834-0CB85FC58B0F}" xr6:coauthVersionLast="47" xr6:coauthVersionMax="47" xr10:uidLastSave="{E64D8A00-0DC0-428A-9BEB-ABD265EA1F7F}"/>
  <bookViews>
    <workbookView xWindow="-110" yWindow="-110" windowWidth="19420" windowHeight="10300" firstSheet="3" activeTab="7" xr2:uid="{76077BED-5C25-4AEF-9078-4729A2FCC0A5}"/>
  </bookViews>
  <sheets>
    <sheet name="Transaction" sheetId="1" r:id="rId1"/>
    <sheet name="Journal Entries" sheetId="2" r:id="rId2"/>
    <sheet name="Ledger" sheetId="3" r:id="rId3"/>
    <sheet name="Trial Balance" sheetId="4" r:id="rId4"/>
    <sheet name="Trading Account" sheetId="5" r:id="rId5"/>
    <sheet name="P&amp;L Account" sheetId="6" r:id="rId6"/>
    <sheet name="Balance Sheet 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6" l="1"/>
  <c r="B42" i="8"/>
  <c r="B36" i="8" l="1"/>
  <c r="F17" i="7"/>
  <c r="C17" i="7"/>
  <c r="F15" i="7"/>
  <c r="F13" i="7"/>
  <c r="F11" i="7"/>
  <c r="C5" i="7"/>
  <c r="F19" i="6"/>
  <c r="C9" i="6"/>
  <c r="C5" i="6"/>
  <c r="F11" i="5"/>
  <c r="B37" i="8"/>
  <c r="F6" i="7"/>
  <c r="B32" i="8"/>
  <c r="B27" i="8"/>
  <c r="B22" i="8"/>
  <c r="B17" i="8"/>
  <c r="B12" i="8"/>
  <c r="B7" i="8"/>
  <c r="C19" i="6" l="1"/>
  <c r="F5" i="5"/>
  <c r="C6" i="5"/>
  <c r="D33" i="4"/>
  <c r="C33" i="4"/>
  <c r="D222" i="3"/>
  <c r="H222" i="3" s="1"/>
  <c r="H220" i="3" s="1"/>
  <c r="D223" i="3" s="1"/>
  <c r="D215" i="3"/>
  <c r="H215" i="3" s="1"/>
  <c r="H213" i="3" s="1"/>
  <c r="D216" i="3" s="1"/>
  <c r="D208" i="3"/>
  <c r="H208" i="3" s="1"/>
  <c r="H206" i="3" s="1"/>
  <c r="D209" i="3" s="1"/>
  <c r="H201" i="3"/>
  <c r="D201" i="3"/>
  <c r="D199" i="3" s="1"/>
  <c r="H202" i="3" s="1"/>
  <c r="D194" i="3"/>
  <c r="H194" i="3" s="1"/>
  <c r="H192" i="3" s="1"/>
  <c r="D195" i="3" s="1"/>
  <c r="D187" i="3"/>
  <c r="H187" i="3" s="1"/>
  <c r="H185" i="3" s="1"/>
  <c r="D188" i="3" s="1"/>
  <c r="H181" i="3"/>
  <c r="D132" i="3"/>
  <c r="H132" i="3" s="1"/>
  <c r="H130" i="3" s="1"/>
  <c r="D133" i="3" s="1"/>
  <c r="D181" i="3"/>
  <c r="H174" i="3"/>
  <c r="D174" i="3" s="1"/>
  <c r="D172" i="3" s="1"/>
  <c r="H175" i="3" s="1"/>
  <c r="D167" i="3"/>
  <c r="H167" i="3" s="1"/>
  <c r="H165" i="3" s="1"/>
  <c r="D168" i="3" s="1"/>
  <c r="H160" i="3"/>
  <c r="D160" i="3" s="1"/>
  <c r="D158" i="3" s="1"/>
  <c r="H161" i="3" s="1"/>
  <c r="D153" i="3"/>
  <c r="H153" i="3" s="1"/>
  <c r="H151" i="3" s="1"/>
  <c r="D154" i="3" s="1"/>
  <c r="D146" i="3"/>
  <c r="H146" i="3" s="1"/>
  <c r="H144" i="3" s="1"/>
  <c r="D147" i="3" s="1"/>
  <c r="H139" i="3"/>
  <c r="D139" i="3" s="1"/>
  <c r="D137" i="3" s="1"/>
  <c r="H140" i="3" s="1"/>
  <c r="D125" i="3"/>
  <c r="H125" i="3" s="1"/>
  <c r="H123" i="3" s="1"/>
  <c r="D126" i="3" s="1"/>
  <c r="H118" i="3"/>
  <c r="H116" i="3" s="1"/>
  <c r="D119" i="3" s="1"/>
  <c r="D118" i="3"/>
  <c r="D111" i="3"/>
  <c r="H111" i="3" s="1"/>
  <c r="H109" i="3" s="1"/>
  <c r="D112" i="3" s="1"/>
  <c r="D104" i="3"/>
  <c r="D102" i="3" s="1"/>
  <c r="H105" i="3" s="1"/>
  <c r="H104" i="3"/>
  <c r="H98" i="3"/>
  <c r="D98" i="3"/>
  <c r="D90" i="3"/>
  <c r="H90" i="3"/>
  <c r="H81" i="3"/>
  <c r="D81" i="3" s="1"/>
  <c r="D77" i="3" s="1"/>
  <c r="H82" i="3" s="1"/>
  <c r="D72" i="3"/>
  <c r="H72" i="3" s="1"/>
  <c r="H70" i="3" s="1"/>
  <c r="D73" i="3" s="1"/>
  <c r="D65" i="3"/>
  <c r="H64" i="3" s="1"/>
  <c r="D49" i="3"/>
  <c r="H49" i="3"/>
  <c r="D40" i="3"/>
  <c r="H36" i="3" s="1"/>
  <c r="D41" i="3" s="1"/>
  <c r="D31" i="3"/>
  <c r="H31" i="3" s="1"/>
  <c r="H29" i="3" s="1"/>
  <c r="D32" i="3" s="1"/>
  <c r="D24" i="3"/>
  <c r="H24" i="3" s="1"/>
  <c r="H22" i="3" s="1"/>
  <c r="D25" i="3" s="1"/>
  <c r="D17" i="3"/>
  <c r="H16" i="3" s="1"/>
  <c r="D18" i="3" s="1"/>
  <c r="H7" i="3"/>
  <c r="D7" i="3" s="1"/>
  <c r="D5" i="3" s="1"/>
  <c r="H8" i="3" s="1"/>
  <c r="C10" i="5" l="1"/>
  <c r="C11" i="5"/>
  <c r="H40" i="3"/>
  <c r="H17" i="3"/>
  <c r="D66" i="3"/>
  <c r="H65" i="3"/>
</calcChain>
</file>

<file path=xl/sharedStrings.xml><?xml version="1.0" encoding="utf-8"?>
<sst xmlns="http://schemas.openxmlformats.org/spreadsheetml/2006/main" count="928" uniqueCount="341">
  <si>
    <t>Following are the transactions preparing Journal Entries, Ledger Accounts, Trial Balance, Trading Account, Profit &amp; Loss Account and Balance Sheet.</t>
  </si>
  <si>
    <t>Tech Limited</t>
  </si>
  <si>
    <t>Transactions for the Year Ended 31 March 2026</t>
  </si>
  <si>
    <t>Share capital introduced through bank</t>
  </si>
  <si>
    <t>Purchased furniture and fixtures for cash</t>
  </si>
  <si>
    <t>Purchased machinery by cheque</t>
  </si>
  <si>
    <t>Purchased goods on credit from Raj Traders</t>
  </si>
  <si>
    <t>Purchased goods for cash</t>
  </si>
  <si>
    <t>Paid carriage inward on purchases</t>
  </si>
  <si>
    <t>Sold goods for cash</t>
  </si>
  <si>
    <t>Sold goods on credit to Kumar Stores</t>
  </si>
  <si>
    <t>Returned goods to Raj Traders</t>
  </si>
  <si>
    <t>Kumar Stores returned goods</t>
  </si>
  <si>
    <t>Paid salary to employees</t>
  </si>
  <si>
    <t>Paid office rent by cheque</t>
  </si>
  <si>
    <t>Received cash from Kumar Stores</t>
  </si>
  <si>
    <t>Allowed discount to Kumar Stores</t>
  </si>
  <si>
    <t>Paid Raj Traders through bank</t>
  </si>
  <si>
    <t>Received discount from Raj Traders</t>
  </si>
  <si>
    <t>Purchased office computer for cash</t>
  </si>
  <si>
    <t>Paid insurance premium</t>
  </si>
  <si>
    <t>Received commission income</t>
  </si>
  <si>
    <t>Paid electricity charges</t>
  </si>
  <si>
    <t>Purchased goods on credit from Devi Suppliers</t>
  </si>
  <si>
    <t>Sold goods on credit to Star Agencies</t>
  </si>
  <si>
    <t>Received cash from Star Agencies</t>
  </si>
  <si>
    <t>Allowed discount to Star Agencies</t>
  </si>
  <si>
    <t>Paid wages</t>
  </si>
  <si>
    <t>Paid advertisement expenses</t>
  </si>
  <si>
    <t>Received interest on investment</t>
  </si>
  <si>
    <t>Paid audit fees</t>
  </si>
  <si>
    <t>Paid telephone expenses</t>
  </si>
  <si>
    <t>Paid interest on bank loan by cheque</t>
  </si>
  <si>
    <t>In the Books of Journal Entries of Tech Limitd for the year Ended 31st March 2026</t>
  </si>
  <si>
    <t>Date</t>
  </si>
  <si>
    <t>Particulars</t>
  </si>
  <si>
    <t>L.F</t>
  </si>
  <si>
    <t>Debit ₹</t>
  </si>
  <si>
    <t>Credit ₹</t>
  </si>
  <si>
    <t>01.04.2025</t>
  </si>
  <si>
    <t>Cash A/C</t>
  </si>
  <si>
    <t>Dr.</t>
  </si>
  <si>
    <t xml:space="preserve">  To Capital A/C</t>
  </si>
  <si>
    <t>(Being Share capital introduced through bank)</t>
  </si>
  <si>
    <t>BankA/C</t>
  </si>
  <si>
    <t>03.04.2025</t>
  </si>
  <si>
    <t>Furniture &amp; Fixtures A/C</t>
  </si>
  <si>
    <t xml:space="preserve">  To Cash A/C</t>
  </si>
  <si>
    <t>(Being Purchased furniture and fixtures for cash)</t>
  </si>
  <si>
    <t>05.04.2025</t>
  </si>
  <si>
    <t>Machinery A/C</t>
  </si>
  <si>
    <t xml:space="preserve">  To Bank A/C</t>
  </si>
  <si>
    <t>(Being Purchased machinery by cheque)</t>
  </si>
  <si>
    <t>10.04.2025</t>
  </si>
  <si>
    <t>Purchased A/C</t>
  </si>
  <si>
    <t xml:space="preserve">  To Raj Traders A/C</t>
  </si>
  <si>
    <t>(Being Purchased goods on credit from Raj Traders)</t>
  </si>
  <si>
    <t>15.04.2025</t>
  </si>
  <si>
    <t>(Being Purchased goods for cash)</t>
  </si>
  <si>
    <t>18.04.2025</t>
  </si>
  <si>
    <t>Carriage Inwards A/C</t>
  </si>
  <si>
    <t>(Being Paid carriage inward on purchases)</t>
  </si>
  <si>
    <t>25.04.2025</t>
  </si>
  <si>
    <t xml:space="preserve">  To Sales A/C</t>
  </si>
  <si>
    <t>(Being Sold goods for cash)</t>
  </si>
  <si>
    <t>(Being Sold goods on credit to Kumar Stores)</t>
  </si>
  <si>
    <t>02.05.2025</t>
  </si>
  <si>
    <t>Kumar Stores A/C</t>
  </si>
  <si>
    <t>10.05.2025</t>
  </si>
  <si>
    <t>Raj Traders A/C</t>
  </si>
  <si>
    <t>(Being Returned goods to Raj Traders)</t>
  </si>
  <si>
    <t>15.05.2025</t>
  </si>
  <si>
    <t>Sales Return A/C</t>
  </si>
  <si>
    <t xml:space="preserve">  To Kumar Stores A/C</t>
  </si>
  <si>
    <t>(Being Kumar Stores returned goods)</t>
  </si>
  <si>
    <t>01.06.2025</t>
  </si>
  <si>
    <t>Salary A/C</t>
  </si>
  <si>
    <t>(Being Paid salary to employees)</t>
  </si>
  <si>
    <t>10.06.2025</t>
  </si>
  <si>
    <t>Rent A/C</t>
  </si>
  <si>
    <t>(Being Paid office rent by cheque)</t>
  </si>
  <si>
    <t>(Being Received cash from Kumar Stores)</t>
  </si>
  <si>
    <t>05.07.2025</t>
  </si>
  <si>
    <t>Discount Allowed A/C</t>
  </si>
  <si>
    <t>(Being Allowed discount to Kumar Stores)</t>
  </si>
  <si>
    <t>01.08.2025</t>
  </si>
  <si>
    <t>(Being Paid Raj Traders through bank)</t>
  </si>
  <si>
    <t xml:space="preserve">  To Discount Received A/C</t>
  </si>
  <si>
    <t>(Being Received discount from Raj Traders)</t>
  </si>
  <si>
    <t>05.09.2025</t>
  </si>
  <si>
    <t>Computer A/C</t>
  </si>
  <si>
    <t>(Being Purchased office computer for cash)</t>
  </si>
  <si>
    <t>01.10.2025</t>
  </si>
  <si>
    <t>Insurance Premium A/C</t>
  </si>
  <si>
    <t>(Being Paid insurance premium)</t>
  </si>
  <si>
    <t>10.10.2025</t>
  </si>
  <si>
    <t xml:space="preserve">  To Commission Received A/C</t>
  </si>
  <si>
    <t>(Being Received commission income)</t>
  </si>
  <si>
    <t>05.11.2025</t>
  </si>
  <si>
    <t>Electricity Charges A/C</t>
  </si>
  <si>
    <t>(Being Paid electricity charges)</t>
  </si>
  <si>
    <t>01.12.2025</t>
  </si>
  <si>
    <t>(Being Purchased goods on credit from Devi Suppliers)</t>
  </si>
  <si>
    <t>(Being Sold goods on credit to Star Agencies)</t>
  </si>
  <si>
    <t>15.12.2025</t>
  </si>
  <si>
    <t>Star Agencies A/C</t>
  </si>
  <si>
    <t>(Being Received cash from Star Agencies)</t>
  </si>
  <si>
    <t xml:space="preserve">  To Star Agencies A/C</t>
  </si>
  <si>
    <t>(Being Allowed discount to Star Agencies)</t>
  </si>
  <si>
    <t>01.02.2026</t>
  </si>
  <si>
    <t>05.01.2026</t>
  </si>
  <si>
    <t>Wages A/C</t>
  </si>
  <si>
    <t>(Being Paid Wages)</t>
  </si>
  <si>
    <t>10.02.2026</t>
  </si>
  <si>
    <t>Advertisement Expenses A/C</t>
  </si>
  <si>
    <t>(Being Paid advertisement expenses)</t>
  </si>
  <si>
    <t>15.03.2026</t>
  </si>
  <si>
    <t xml:space="preserve">  To Interest Received A/C</t>
  </si>
  <si>
    <t>(Being Received interest on investment)</t>
  </si>
  <si>
    <t>20.03.2026</t>
  </si>
  <si>
    <t xml:space="preserve">   To Cash A/C</t>
  </si>
  <si>
    <t>(Being Paid audit fees)</t>
  </si>
  <si>
    <t>25.03.2026</t>
  </si>
  <si>
    <t>Telephone Expenses A/C</t>
  </si>
  <si>
    <t>(Being Paid telephone expenses)</t>
  </si>
  <si>
    <t>31.03.2026</t>
  </si>
  <si>
    <t>Interest on Bank Loan A/C</t>
  </si>
  <si>
    <t>(Being Paid interest on bank loan by cheque)</t>
  </si>
  <si>
    <t>Capital Account</t>
  </si>
  <si>
    <t>J.F</t>
  </si>
  <si>
    <t>Amount ₹</t>
  </si>
  <si>
    <t>Particular</t>
  </si>
  <si>
    <t>In the book of Ledger account of Tech Limited for the Year Ended 31st March 2026</t>
  </si>
  <si>
    <t>By Bank A/C</t>
  </si>
  <si>
    <t>To Balance c/d</t>
  </si>
  <si>
    <t>01.04.2026</t>
  </si>
  <si>
    <t xml:space="preserve">Bank Account </t>
  </si>
  <si>
    <t>To Capital A/C</t>
  </si>
  <si>
    <t>By Machinery A/C</t>
  </si>
  <si>
    <t>By Rent A/C</t>
  </si>
  <si>
    <t>By Raj Traders A/C</t>
  </si>
  <si>
    <t>By Interest on Bank Loan A/C</t>
  </si>
  <si>
    <t>To Balance b/d</t>
  </si>
  <si>
    <t>Furnitures &amp; Fixtures A/C</t>
  </si>
  <si>
    <t>To Cash A/C</t>
  </si>
  <si>
    <t>Furnitures &amp; Fixtures Account</t>
  </si>
  <si>
    <t>Machinery Account</t>
  </si>
  <si>
    <t>To Bank A/C</t>
  </si>
  <si>
    <t>Purchased Account</t>
  </si>
  <si>
    <t>To Raj Traders A/C</t>
  </si>
  <si>
    <t>Raj Traders Account</t>
  </si>
  <si>
    <t>By Purchased A/C</t>
  </si>
  <si>
    <t>To Purchased Return A/C</t>
  </si>
  <si>
    <t>To Discount Received A/C</t>
  </si>
  <si>
    <t>Dr.                                                                                                                                                                                                             Cr.</t>
  </si>
  <si>
    <t>Cash Account</t>
  </si>
  <si>
    <t>By Carriage Inwards A/C</t>
  </si>
  <si>
    <t>To Sales A/C</t>
  </si>
  <si>
    <t>By Salary A/C</t>
  </si>
  <si>
    <t>To Kumar Stores A/C</t>
  </si>
  <si>
    <t>By Computer A/C</t>
  </si>
  <si>
    <t>By Insurance Premium A/C</t>
  </si>
  <si>
    <t>To Commission Received A/C</t>
  </si>
  <si>
    <t>By Electricity Charges A/C</t>
  </si>
  <si>
    <t>To Star Agencies A/C</t>
  </si>
  <si>
    <t>By Wages A/C</t>
  </si>
  <si>
    <t>By Advertisement Expenses A/C</t>
  </si>
  <si>
    <t>To Interest Received A/C</t>
  </si>
  <si>
    <t>By Telephone Expenses A/C</t>
  </si>
  <si>
    <t>By Balance c/d</t>
  </si>
  <si>
    <t>By Balance b/d</t>
  </si>
  <si>
    <t>By Furnitures &amp; Fixtures A/C</t>
  </si>
  <si>
    <t>Carrige Inwards Account</t>
  </si>
  <si>
    <t>Sales Account</t>
  </si>
  <si>
    <t>By Cash A/C</t>
  </si>
  <si>
    <t>By Kumar Stores A/C</t>
  </si>
  <si>
    <t>By Star Agencies A/C</t>
  </si>
  <si>
    <t>Kumar stores Account</t>
  </si>
  <si>
    <t>By Sales Return A/C</t>
  </si>
  <si>
    <t>By Discount Allowed A/C</t>
  </si>
  <si>
    <t>Purchased Return Account</t>
  </si>
  <si>
    <t>Sales Return Account</t>
  </si>
  <si>
    <t xml:space="preserve"> Salary Account</t>
  </si>
  <si>
    <t>Rent Account</t>
  </si>
  <si>
    <t>Discount Allowed Account</t>
  </si>
  <si>
    <t>Discount Received Account</t>
  </si>
  <si>
    <t>Computer Account</t>
  </si>
  <si>
    <t>Insurance Premium Account</t>
  </si>
  <si>
    <t>Commission Received Account</t>
  </si>
  <si>
    <t>Electricity Charges Account</t>
  </si>
  <si>
    <t>Star Agencies Account</t>
  </si>
  <si>
    <t>Wages Account</t>
  </si>
  <si>
    <t>Advertisement Expenses Account</t>
  </si>
  <si>
    <t>Interest Received Account</t>
  </si>
  <si>
    <t>Telephone Expenses Account</t>
  </si>
  <si>
    <t>Interest on Bank Loan Account</t>
  </si>
  <si>
    <t>SI.NO</t>
  </si>
  <si>
    <t>Bank A/C</t>
  </si>
  <si>
    <t>Sales A/C</t>
  </si>
  <si>
    <t>Purchased Return A/C</t>
  </si>
  <si>
    <t>Discount Received A/C</t>
  </si>
  <si>
    <t>Commission Received A/C</t>
  </si>
  <si>
    <t>Capital A/C</t>
  </si>
  <si>
    <t>Total</t>
  </si>
  <si>
    <t xml:space="preserve">        -</t>
  </si>
  <si>
    <t>Dr.                                                                                                                                                                                                               Cr.</t>
  </si>
  <si>
    <t>Trading Account for the year Ended 31st March 2026</t>
  </si>
  <si>
    <t>To Opening Stock</t>
  </si>
  <si>
    <t>To Purchased A/C</t>
  </si>
  <si>
    <t>By Sales A/C</t>
  </si>
  <si>
    <t>By Closing Stock</t>
  </si>
  <si>
    <r>
      <rPr>
        <b/>
        <sz val="14"/>
        <color theme="1"/>
        <rFont val="Times New Roman"/>
        <family val="1"/>
      </rPr>
      <t xml:space="preserve">Less : </t>
    </r>
    <r>
      <rPr>
        <sz val="14"/>
        <color theme="1"/>
        <rFont val="Times New Roman"/>
        <family val="1"/>
      </rPr>
      <t>Purchased Return</t>
    </r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</si>
  <si>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Sales Return</t>
    </r>
  </si>
  <si>
    <t>To Wages A/C</t>
  </si>
  <si>
    <t>To Carriage Inwards A/C</t>
  </si>
  <si>
    <t>To Gross Profit c/d</t>
  </si>
  <si>
    <t xml:space="preserve">          -</t>
  </si>
  <si>
    <t>Dr.                                                                                                                                                              Cr.</t>
  </si>
  <si>
    <t>Profit &amp; Loss Account for the year ended 31st March 2026</t>
  </si>
  <si>
    <t>To Salary A/C</t>
  </si>
  <si>
    <t>To Rent A/C</t>
  </si>
  <si>
    <t>To Discount Allowed A/C</t>
  </si>
  <si>
    <t>By Discount Received A/C</t>
  </si>
  <si>
    <t>By Gross Profit b/d</t>
  </si>
  <si>
    <t>To Insurance Premium A/C</t>
  </si>
  <si>
    <t>By Commission Received A/C</t>
  </si>
  <si>
    <t>To Electricity Charges A/C</t>
  </si>
  <si>
    <t>To Advertisement Expenses A/C</t>
  </si>
  <si>
    <t>By Interest Received A/C</t>
  </si>
  <si>
    <t>To Telephone Expenses A/C</t>
  </si>
  <si>
    <t>To Interest on Bank Loan A/C</t>
  </si>
  <si>
    <t>Balance Sheet as on 31st March 2026</t>
  </si>
  <si>
    <t xml:space="preserve">Capital </t>
  </si>
  <si>
    <t>Ratio Analysis</t>
  </si>
  <si>
    <t>Interpretation of results</t>
  </si>
  <si>
    <t>(Complete Ratio Analysis whichever is applicable)</t>
  </si>
  <si>
    <t>1. Current Ratio</t>
  </si>
  <si>
    <t>Current Assests / Current Liabilities</t>
  </si>
  <si>
    <t>Ideal ratio is 2:1</t>
  </si>
  <si>
    <t>Current Assets</t>
  </si>
  <si>
    <t>Current Liabilities</t>
  </si>
  <si>
    <t>This indicates excellent short-term solvency and a very strong ability to meet its current obiligations.</t>
  </si>
  <si>
    <t>Current Ratio</t>
  </si>
  <si>
    <t>Too much money is tied up in current assets, reducing profitability.</t>
  </si>
  <si>
    <t>2. Quick Ratio</t>
  </si>
  <si>
    <t>(Current Assets - Inventory - Prepaid Expenses) / Current Liabilites</t>
  </si>
  <si>
    <t>Ideal ratio is 1:1</t>
  </si>
  <si>
    <t>Quick Assets</t>
  </si>
  <si>
    <t>This indicates excellent immediate liquidity and a very strong ability to meet short-term obiligations.</t>
  </si>
  <si>
    <t>Quick Ratio</t>
  </si>
  <si>
    <t>The company is holding too much cash and liquid assets instead of using them effectively.</t>
  </si>
  <si>
    <t>3. Cash Ratio</t>
  </si>
  <si>
    <t>(Cash + Cash Equivalents) / Current Liabilities</t>
  </si>
  <si>
    <t>Ideal ratio is 0.5:1</t>
  </si>
  <si>
    <t>Cash and Cash Equivalents</t>
  </si>
  <si>
    <t>Comfortably</t>
  </si>
  <si>
    <t>Meet all its short-term obligations using only its cash and cash equivalents.</t>
  </si>
  <si>
    <t>Cash Ratio</t>
  </si>
  <si>
    <t>Excess cash is lying idle and not earning good returns.</t>
  </si>
  <si>
    <t>4. Debt-to-Equity Ratio</t>
  </si>
  <si>
    <t>Total Debt / Shareholders' Equity</t>
  </si>
  <si>
    <t>Total Debt</t>
  </si>
  <si>
    <t>Shareholders' Equity</t>
  </si>
  <si>
    <t>This indicates a very low level of financial average and a strong equity base.</t>
  </si>
  <si>
    <t>Debt-to-Equity Ratio</t>
  </si>
  <si>
    <t>Excess equity may reduce profitability</t>
  </si>
  <si>
    <t>5. Debt-to-Asset Ratio</t>
  </si>
  <si>
    <t>Total Debt / Total Assets</t>
  </si>
  <si>
    <t>Ideal ratio is &lt; 50 %</t>
  </si>
  <si>
    <t>Total Assets</t>
  </si>
  <si>
    <t>Indicates strong financial stability and a low level of financial risk.</t>
  </si>
  <si>
    <t>Debt-to-Assests Ratio</t>
  </si>
  <si>
    <t>The company depends more on equity than debt, which may reduce expansion opportunities.</t>
  </si>
  <si>
    <t>6. Assest Turnover Ratio</t>
  </si>
  <si>
    <t>Net Sales / Total Assets</t>
  </si>
  <si>
    <t>Ideal ratio is &gt; 2 times</t>
  </si>
  <si>
    <t>Net Sales</t>
  </si>
  <si>
    <t>Assest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</si>
  <si>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</si>
  <si>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</si>
  <si>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</si>
  <si>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</si>
  <si>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Working Capital</t>
  </si>
  <si>
    <t>Working Capital turnover Ratio</t>
  </si>
  <si>
    <t>The firm is not using its working capital efficiently to generate sales</t>
  </si>
  <si>
    <t>Fixed Assests :</t>
  </si>
  <si>
    <t>Current Liabilities :</t>
  </si>
  <si>
    <t>Current Assests :</t>
  </si>
  <si>
    <t>The firm has ₹ 0.08 of debt for every ₹ 1 of shareholders equity.</t>
  </si>
  <si>
    <t>Audit Fees A/C</t>
  </si>
  <si>
    <t xml:space="preserve">  To Devi Suppliers A/C</t>
  </si>
  <si>
    <t>Purchases A/C</t>
  </si>
  <si>
    <t xml:space="preserve">  To Purchase Return A/C</t>
  </si>
  <si>
    <t>To Devi Suppliers A/C</t>
  </si>
  <si>
    <t>By Audit Fees A/C</t>
  </si>
  <si>
    <t>Devi Suppliers Account</t>
  </si>
  <si>
    <t>Audit Fees Account</t>
  </si>
  <si>
    <t>Devi Suppliers A/C</t>
  </si>
  <si>
    <t>Interest Received A/C</t>
  </si>
  <si>
    <t xml:space="preserve">Direct Expenses : </t>
  </si>
  <si>
    <t>To Audit Fees A/C</t>
  </si>
  <si>
    <t>Trial Balance as on 31st March 2026</t>
  </si>
  <si>
    <t>Additional Adjustments (as on 31 March)</t>
  </si>
  <si>
    <t>1. Closing Stock ₹1,75,000</t>
  </si>
  <si>
    <t xml:space="preserve">   2. Outstanding Salary ₹5,000</t>
  </si>
  <si>
    <t xml:space="preserve"> 3. Prepaid Insurance ₹2,000</t>
  </si>
  <si>
    <t xml:space="preserve">                      4. Depreciation on Machinery @10% p.a.</t>
  </si>
  <si>
    <t xml:space="preserve">                   5. Depreciation on Furniture @10% p.a.</t>
  </si>
  <si>
    <t xml:space="preserve">                    6. Depreciation on Computer @20% p.a.</t>
  </si>
  <si>
    <r>
      <rPr>
        <b/>
        <sz val="14"/>
        <color theme="1"/>
        <rFont val="Times New Roman"/>
        <family val="1"/>
      </rPr>
      <t>Add :</t>
    </r>
    <r>
      <rPr>
        <sz val="14"/>
        <color theme="1"/>
        <rFont val="Times New Roman"/>
        <family val="1"/>
      </rPr>
      <t xml:space="preserve"> Outstanding Salary</t>
    </r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</si>
  <si>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Prepaid Insurance </t>
    </r>
  </si>
  <si>
    <t>To Depreciation on Furniture</t>
  </si>
  <si>
    <t>To Depreciation on Machinery</t>
  </si>
  <si>
    <t>To Depreciation on Computer</t>
  </si>
  <si>
    <t>Dr.                                                                                                                                                                                                                    Cr.</t>
  </si>
  <si>
    <r>
      <rPr>
        <b/>
        <sz val="14"/>
        <color theme="1"/>
        <rFont val="Times New Roman"/>
        <family val="1"/>
      </rPr>
      <t>Add :</t>
    </r>
    <r>
      <rPr>
        <sz val="14"/>
        <color theme="1"/>
        <rFont val="Times New Roman"/>
        <family val="1"/>
      </rPr>
      <t xml:space="preserve"> Net Profit</t>
    </r>
  </si>
  <si>
    <r>
      <rPr>
        <b/>
        <sz val="14"/>
        <color theme="1"/>
        <rFont val="Times New Roman"/>
        <family val="1"/>
      </rPr>
      <t>Less :</t>
    </r>
    <r>
      <rPr>
        <sz val="14"/>
        <color theme="1"/>
        <rFont val="Times New Roman"/>
        <family val="1"/>
      </rPr>
      <t xml:space="preserve"> Depreciation</t>
    </r>
  </si>
  <si>
    <t>Closing Stock</t>
  </si>
  <si>
    <t>Outstanding Salary</t>
  </si>
  <si>
    <t>Prepaid Insurance</t>
  </si>
  <si>
    <t>8.  Inventory Turnover Ratio</t>
  </si>
  <si>
    <t>Cost of goods sold / Average Inventory</t>
  </si>
  <si>
    <t xml:space="preserve">Ideal ratio is &gt; 5times </t>
  </si>
  <si>
    <t>Cost of good sold</t>
  </si>
  <si>
    <t>Average inventory</t>
  </si>
  <si>
    <t>Movement and relatively lower sales efficiency.</t>
  </si>
  <si>
    <t>Inventory Turnover Ratio</t>
  </si>
  <si>
    <t>Low inventory turnover indicates slow movement of stock, which may increase storage costs and the risk of obsolete inventory.</t>
  </si>
  <si>
    <t>The firm has ₹ 9.78 of current assets for every ₹1 of Current Liabilities.</t>
  </si>
  <si>
    <t>The firm has ₹ 7.69 of Liquid assets for every ₹ 1 of Current Liabilities.</t>
  </si>
  <si>
    <t>The firm has ₹ 7.69 of cash and cash equivalents for every ₹1 of current liabilites.</t>
  </si>
  <si>
    <t>The firm has ₹ 0.07 of debt for every ₹ 1 invested in total assets.</t>
  </si>
  <si>
    <t>The firm generates only ₹ 0.29 of net sales for every ₹ 1 invested in total assests.</t>
  </si>
  <si>
    <t>The firm generates only ₹ 0.45 of net sales for every ₹ 1 of working capital.</t>
  </si>
  <si>
    <t>The firm turns over its inventory ₹ 1.14 times during the year. This indicates slow Inventory</t>
  </si>
  <si>
    <t>To Net Profit (Transferred to Capital A/C)</t>
  </si>
  <si>
    <t>Liabilities</t>
  </si>
  <si>
    <t>Assets</t>
  </si>
  <si>
    <t>This indicates the business generates sales equal to 45% of its working capital.</t>
  </si>
  <si>
    <t>This indicates the business generates sales equal to 29% of its total assests.</t>
  </si>
  <si>
    <t>The firm finances 7% of its assets through debt.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</si>
</sst>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rgb="FF0C0C0C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CCCCCC"/>
      </left>
      <right/>
      <top style="medium">
        <color indexed="64"/>
      </top>
      <bottom/>
      <diagonal/>
    </border>
    <border>
      <left/>
      <right style="medium">
        <color rgb="FFCCCCCC"/>
      </right>
      <top style="medium">
        <color indexed="64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7" fontId="3" fillId="0" borderId="13" xfId="0" applyNumberFormat="1" applyFont="1" applyBorder="1" applyAlignment="1">
      <alignment horizontal="right" vertical="center" wrapText="1"/>
    </xf>
    <xf numFmtId="17" fontId="3" fillId="0" borderId="14" xfId="0" applyNumberFormat="1" applyFont="1" applyBorder="1" applyAlignment="1">
      <alignment horizontal="right" vertical="center" wrapText="1"/>
    </xf>
    <xf numFmtId="17" fontId="3" fillId="0" borderId="15" xfId="0" applyNumberFormat="1" applyFont="1" applyBorder="1" applyAlignment="1">
      <alignment horizontal="right" vertical="center" wrapText="1"/>
    </xf>
    <xf numFmtId="3" fontId="3" fillId="0" borderId="16" xfId="0" applyNumberFormat="1" applyFont="1" applyBorder="1" applyAlignment="1">
      <alignment horizontal="right" vertical="center" wrapText="1"/>
    </xf>
    <xf numFmtId="3" fontId="3" fillId="0" borderId="17" xfId="0" applyNumberFormat="1" applyFont="1" applyBorder="1" applyAlignment="1">
      <alignment horizontal="right" vertical="center" wrapText="1"/>
    </xf>
    <xf numFmtId="3" fontId="3" fillId="0" borderId="18" xfId="0" applyNumberFormat="1" applyFont="1" applyBorder="1" applyAlignment="1">
      <alignment horizontal="right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3" fontId="1" fillId="0" borderId="6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3" fontId="4" fillId="0" borderId="1" xfId="0" applyNumberFormat="1" applyFont="1" applyBorder="1"/>
    <xf numFmtId="3" fontId="1" fillId="0" borderId="4" xfId="0" applyNumberFormat="1" applyFont="1" applyBorder="1"/>
    <xf numFmtId="3" fontId="4" fillId="0" borderId="6" xfId="0" applyNumberFormat="1" applyFont="1" applyBorder="1"/>
    <xf numFmtId="3" fontId="1" fillId="0" borderId="9" xfId="0" applyNumberFormat="1" applyFont="1" applyBorder="1"/>
    <xf numFmtId="3" fontId="1" fillId="0" borderId="8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0" fillId="0" borderId="1" xfId="0" applyBorder="1"/>
    <xf numFmtId="0" fontId="1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3" fontId="1" fillId="0" borderId="4" xfId="0" applyNumberFormat="1" applyFont="1" applyBorder="1" applyAlignment="1">
      <alignment horizontal="right"/>
    </xf>
    <xf numFmtId="0" fontId="0" fillId="0" borderId="5" xfId="0" applyBorder="1"/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" fillId="0" borderId="29" xfId="0" applyFont="1" applyBorder="1"/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" fillId="0" borderId="33" xfId="0" applyFont="1" applyBorder="1"/>
    <xf numFmtId="3" fontId="1" fillId="0" borderId="33" xfId="0" applyNumberFormat="1" applyFont="1" applyBorder="1"/>
    <xf numFmtId="3" fontId="1" fillId="0" borderId="34" xfId="0" applyNumberFormat="1" applyFont="1" applyBorder="1"/>
    <xf numFmtId="0" fontId="4" fillId="0" borderId="10" xfId="0" applyFont="1" applyBorder="1" applyAlignment="1">
      <alignment horizontal="center"/>
    </xf>
    <xf numFmtId="3" fontId="1" fillId="0" borderId="37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40" xfId="0" applyFont="1" applyBorder="1"/>
    <xf numFmtId="0" fontId="1" fillId="0" borderId="41" xfId="0" applyFont="1" applyBorder="1"/>
    <xf numFmtId="0" fontId="1" fillId="0" borderId="42" xfId="0" applyFont="1" applyBorder="1"/>
    <xf numFmtId="3" fontId="4" fillId="0" borderId="11" xfId="0" applyNumberFormat="1" applyFont="1" applyBorder="1"/>
    <xf numFmtId="3" fontId="4" fillId="0" borderId="12" xfId="0" applyNumberFormat="1" applyFont="1" applyBorder="1"/>
    <xf numFmtId="0" fontId="0" fillId="0" borderId="33" xfId="0" applyBorder="1"/>
    <xf numFmtId="0" fontId="1" fillId="0" borderId="34" xfId="0" applyFont="1" applyBorder="1"/>
    <xf numFmtId="0" fontId="4" fillId="2" borderId="30" xfId="0" applyFont="1" applyFill="1" applyBorder="1" applyAlignment="1">
      <alignment horizontal="center" wrapText="1"/>
    </xf>
    <xf numFmtId="0" fontId="0" fillId="2" borderId="39" xfId="0" applyFill="1" applyBorder="1" applyAlignment="1">
      <alignment wrapText="1"/>
    </xf>
    <xf numFmtId="0" fontId="4" fillId="3" borderId="30" xfId="0" applyFont="1" applyFill="1" applyBorder="1" applyAlignment="1">
      <alignment wrapText="1"/>
    </xf>
    <xf numFmtId="0" fontId="0" fillId="4" borderId="30" xfId="0" applyFill="1" applyBorder="1" applyAlignment="1">
      <alignment wrapText="1"/>
    </xf>
    <xf numFmtId="0" fontId="0" fillId="4" borderId="38" xfId="0" applyFill="1" applyBorder="1" applyAlignment="1">
      <alignment wrapText="1"/>
    </xf>
    <xf numFmtId="0" fontId="1" fillId="4" borderId="38" xfId="0" applyFont="1" applyFill="1" applyBorder="1" applyAlignment="1">
      <alignment wrapText="1"/>
    </xf>
    <xf numFmtId="0" fontId="1" fillId="4" borderId="38" xfId="0" applyFont="1" applyFill="1" applyBorder="1" applyAlignment="1">
      <alignment horizontal="right" wrapText="1"/>
    </xf>
    <xf numFmtId="3" fontId="1" fillId="4" borderId="38" xfId="0" applyNumberFormat="1" applyFont="1" applyFill="1" applyBorder="1" applyAlignment="1">
      <alignment horizontal="right" wrapText="1"/>
    </xf>
    <xf numFmtId="0" fontId="1" fillId="4" borderId="39" xfId="0" applyFont="1" applyFill="1" applyBorder="1" applyAlignment="1">
      <alignment horizontal="right" wrapText="1"/>
    </xf>
    <xf numFmtId="4" fontId="4" fillId="4" borderId="39" xfId="0" applyNumberFormat="1" applyFont="1" applyFill="1" applyBorder="1" applyAlignment="1">
      <alignment horizontal="right" wrapText="1"/>
    </xf>
    <xf numFmtId="0" fontId="1" fillId="4" borderId="39" xfId="0" applyFont="1" applyFill="1" applyBorder="1" applyAlignment="1">
      <alignment wrapText="1"/>
    </xf>
    <xf numFmtId="0" fontId="4" fillId="3" borderId="24" xfId="0" applyFont="1" applyFill="1" applyBorder="1" applyAlignment="1">
      <alignment vertical="center" wrapText="1"/>
    </xf>
    <xf numFmtId="0" fontId="0" fillId="4" borderId="24" xfId="0" applyFill="1" applyBorder="1" applyAlignment="1">
      <alignment wrapText="1"/>
    </xf>
    <xf numFmtId="3" fontId="1" fillId="4" borderId="24" xfId="0" applyNumberFormat="1" applyFont="1" applyFill="1" applyBorder="1" applyAlignment="1">
      <alignment horizontal="right" wrapText="1"/>
    </xf>
    <xf numFmtId="0" fontId="1" fillId="4" borderId="30" xfId="0" applyFont="1" applyFill="1" applyBorder="1" applyAlignment="1">
      <alignment wrapText="1"/>
    </xf>
    <xf numFmtId="0" fontId="1" fillId="4" borderId="38" xfId="0" applyFont="1" applyFill="1" applyBorder="1" applyAlignment="1">
      <alignment vertical="center" wrapText="1"/>
    </xf>
    <xf numFmtId="2" fontId="4" fillId="4" borderId="39" xfId="0" applyNumberFormat="1" applyFont="1" applyFill="1" applyBorder="1" applyAlignment="1">
      <alignment horizontal="right" wrapText="1"/>
    </xf>
    <xf numFmtId="0" fontId="1" fillId="5" borderId="39" xfId="0" applyFont="1" applyFill="1" applyBorder="1"/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0" fillId="0" borderId="6" xfId="0" applyBorder="1"/>
    <xf numFmtId="0" fontId="4" fillId="0" borderId="1" xfId="0" applyFont="1" applyBorder="1"/>
    <xf numFmtId="0" fontId="0" fillId="0" borderId="3" xfId="0" applyBorder="1"/>
    <xf numFmtId="0" fontId="0" fillId="0" borderId="4" xfId="0" applyBorder="1"/>
    <xf numFmtId="0" fontId="4" fillId="0" borderId="3" xfId="0" applyFont="1" applyBorder="1"/>
    <xf numFmtId="0" fontId="4" fillId="0" borderId="5" xfId="0" applyFont="1" applyBorder="1"/>
    <xf numFmtId="2" fontId="4" fillId="4" borderId="24" xfId="0" applyNumberFormat="1" applyFont="1" applyFill="1" applyBorder="1" applyAlignment="1">
      <alignment horizontal="right" wrapText="1"/>
    </xf>
    <xf numFmtId="0" fontId="1" fillId="0" borderId="3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/>
    </xf>
    <xf numFmtId="0" fontId="4" fillId="0" borderId="0" xfId="0" applyFont="1"/>
    <xf numFmtId="0" fontId="4" fillId="0" borderId="25" xfId="0" applyFont="1" applyBorder="1"/>
    <xf numFmtId="0" fontId="4" fillId="0" borderId="25" xfId="0" applyFont="1" applyBorder="1" applyAlignment="1">
      <alignment horizontal="center"/>
    </xf>
    <xf numFmtId="0" fontId="4" fillId="2" borderId="35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6" fillId="2" borderId="36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3" fontId="1" fillId="0" borderId="0" xfId="0" applyNumberFormat="1" applyFont="1"/>
    <xf numFmtId="0" fontId="4" fillId="6" borderId="30" xfId="0" applyFont="1" applyFill="1" applyBorder="1"/>
    <xf numFmtId="0" fontId="1" fillId="5" borderId="23" xfId="0" applyFont="1" applyFill="1" applyBorder="1"/>
    <xf numFmtId="0" fontId="1" fillId="5" borderId="38" xfId="0" applyFont="1" applyFill="1" applyBorder="1"/>
    <xf numFmtId="0" fontId="1" fillId="5" borderId="24" xfId="0" applyFont="1" applyFill="1" applyBorder="1"/>
    <xf numFmtId="0" fontId="1" fillId="5" borderId="38" xfId="0" applyFont="1" applyFill="1" applyBorder="1" applyAlignment="1">
      <alignment horizontal="right"/>
    </xf>
    <xf numFmtId="3" fontId="1" fillId="5" borderId="38" xfId="0" applyNumberFormat="1" applyFont="1" applyFill="1" applyBorder="1"/>
    <xf numFmtId="0" fontId="1" fillId="5" borderId="44" xfId="0" applyFont="1" applyFill="1" applyBorder="1"/>
    <xf numFmtId="0" fontId="1" fillId="5" borderId="39" xfId="0" applyFont="1" applyFill="1" applyBorder="1" applyAlignment="1">
      <alignment horizontal="right"/>
    </xf>
    <xf numFmtId="0" fontId="1" fillId="5" borderId="26" xfId="0" applyFont="1" applyFill="1" applyBorder="1"/>
    <xf numFmtId="2" fontId="4" fillId="5" borderId="3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10EE-1683-43BE-BD4A-C256B6B8046B}">
  <dimension ref="A1:R1827"/>
  <sheetViews>
    <sheetView topLeftCell="A26" workbookViewId="0">
      <selection activeCell="C28" sqref="C28"/>
    </sheetView>
  </sheetViews>
  <sheetFormatPr defaultRowHeight="14.5" x14ac:dyDescent="0.35"/>
  <cols>
    <col min="1" max="1" width="6" customWidth="1"/>
    <col min="2" max="2" width="9.1796875" customWidth="1"/>
    <col min="3" max="3" width="56.453125" customWidth="1"/>
    <col min="4" max="4" width="35.6328125" customWidth="1"/>
  </cols>
  <sheetData>
    <row r="1" spans="1:18" ht="44.5" customHeight="1" thickBot="1" x14ac:dyDescent="0.45">
      <c r="A1" s="93" t="s">
        <v>0</v>
      </c>
      <c r="B1" s="94"/>
      <c r="C1" s="94"/>
      <c r="D1" s="9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.5" thickBot="1" x14ac:dyDescent="0.45">
      <c r="A2" s="96" t="s">
        <v>1</v>
      </c>
      <c r="B2" s="97"/>
      <c r="C2" s="97"/>
      <c r="D2" s="9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8.5" thickBot="1" x14ac:dyDescent="0.45">
      <c r="A3" s="96" t="s">
        <v>2</v>
      </c>
      <c r="B3" s="97"/>
      <c r="C3" s="97"/>
      <c r="D3" s="9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" x14ac:dyDescent="0.4">
      <c r="A4" s="2">
        <v>1</v>
      </c>
      <c r="B4" s="5">
        <v>36982</v>
      </c>
      <c r="C4" s="11" t="s">
        <v>3</v>
      </c>
      <c r="D4" s="8">
        <v>1000000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8" x14ac:dyDescent="0.4">
      <c r="A5" s="3">
        <v>2</v>
      </c>
      <c r="B5" s="6">
        <v>37712</v>
      </c>
      <c r="C5" s="12" t="s">
        <v>4</v>
      </c>
      <c r="D5" s="9">
        <v>80000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8" x14ac:dyDescent="0.4">
      <c r="A6" s="3">
        <v>3</v>
      </c>
      <c r="B6" s="6">
        <v>38443</v>
      </c>
      <c r="C6" s="12" t="s">
        <v>5</v>
      </c>
      <c r="D6" s="9">
        <v>250000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8" x14ac:dyDescent="0.4">
      <c r="A7" s="3">
        <v>4</v>
      </c>
      <c r="B7" s="6">
        <v>40269</v>
      </c>
      <c r="C7" s="12" t="s">
        <v>6</v>
      </c>
      <c r="D7" s="9">
        <v>120000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8" x14ac:dyDescent="0.4">
      <c r="A8" s="3">
        <v>5</v>
      </c>
      <c r="B8" s="6">
        <v>42095</v>
      </c>
      <c r="C8" s="12" t="s">
        <v>7</v>
      </c>
      <c r="D8" s="9">
        <v>60000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8" x14ac:dyDescent="0.4">
      <c r="A9" s="3">
        <v>6</v>
      </c>
      <c r="B9" s="6">
        <v>43191</v>
      </c>
      <c r="C9" s="12" t="s">
        <v>8</v>
      </c>
      <c r="D9" s="9">
        <v>5000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8" x14ac:dyDescent="0.4">
      <c r="A10" s="3">
        <v>7</v>
      </c>
      <c r="B10" s="6">
        <v>45748</v>
      </c>
      <c r="C10" s="12" t="s">
        <v>9</v>
      </c>
      <c r="D10" s="9">
        <v>90000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" x14ac:dyDescent="0.4">
      <c r="A11" s="3">
        <v>8</v>
      </c>
      <c r="B11" s="6">
        <v>37377</v>
      </c>
      <c r="C11" s="12" t="s">
        <v>10</v>
      </c>
      <c r="D11" s="9">
        <v>150000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8" x14ac:dyDescent="0.4">
      <c r="A12" s="3">
        <v>9</v>
      </c>
      <c r="B12" s="6">
        <v>40299</v>
      </c>
      <c r="C12" s="12" t="s">
        <v>11</v>
      </c>
      <c r="D12" s="9">
        <v>10000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8" x14ac:dyDescent="0.4">
      <c r="A13" s="3">
        <v>10</v>
      </c>
      <c r="B13" s="6">
        <v>42125</v>
      </c>
      <c r="C13" s="12" t="s">
        <v>12</v>
      </c>
      <c r="D13" s="9">
        <v>15000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8" x14ac:dyDescent="0.4">
      <c r="A14" s="3">
        <v>11</v>
      </c>
      <c r="B14" s="6">
        <v>37043</v>
      </c>
      <c r="C14" s="12" t="s">
        <v>13</v>
      </c>
      <c r="D14" s="9">
        <v>30000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8" x14ac:dyDescent="0.4">
      <c r="A15" s="3">
        <v>12</v>
      </c>
      <c r="B15" s="6">
        <v>40330</v>
      </c>
      <c r="C15" s="12" t="s">
        <v>14</v>
      </c>
      <c r="D15" s="9">
        <v>24000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8" x14ac:dyDescent="0.4">
      <c r="A16" s="3">
        <v>13</v>
      </c>
      <c r="B16" s="6">
        <v>38534</v>
      </c>
      <c r="C16" s="12" t="s">
        <v>15</v>
      </c>
      <c r="D16" s="9">
        <v>130000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8" x14ac:dyDescent="0.4">
      <c r="A17" s="3">
        <v>14</v>
      </c>
      <c r="B17" s="6">
        <v>38534</v>
      </c>
      <c r="C17" s="12" t="s">
        <v>16</v>
      </c>
      <c r="D17" s="9">
        <v>5000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8" x14ac:dyDescent="0.4">
      <c r="A18" s="3">
        <v>15</v>
      </c>
      <c r="B18" s="6">
        <v>37104</v>
      </c>
      <c r="C18" s="12" t="s">
        <v>17</v>
      </c>
      <c r="D18" s="9">
        <v>108000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8" x14ac:dyDescent="0.4">
      <c r="A19" s="3">
        <v>16</v>
      </c>
      <c r="B19" s="6">
        <v>37104</v>
      </c>
      <c r="C19" s="12" t="s">
        <v>18</v>
      </c>
      <c r="D19" s="9">
        <v>2000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8" x14ac:dyDescent="0.4">
      <c r="A20" s="3">
        <v>17</v>
      </c>
      <c r="B20" s="6">
        <v>38596</v>
      </c>
      <c r="C20" s="12" t="s">
        <v>19</v>
      </c>
      <c r="D20" s="9">
        <v>50000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8" x14ac:dyDescent="0.4">
      <c r="A21" s="3">
        <v>18</v>
      </c>
      <c r="B21" s="6">
        <v>37165</v>
      </c>
      <c r="C21" s="12" t="s">
        <v>20</v>
      </c>
      <c r="D21" s="9">
        <v>12000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8" x14ac:dyDescent="0.4">
      <c r="A22" s="3">
        <v>19</v>
      </c>
      <c r="B22" s="6">
        <v>40452</v>
      </c>
      <c r="C22" s="12" t="s">
        <v>21</v>
      </c>
      <c r="D22" s="9">
        <v>8000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8" x14ac:dyDescent="0.4">
      <c r="A23" s="3">
        <v>20</v>
      </c>
      <c r="B23" s="6">
        <v>38657</v>
      </c>
      <c r="C23" s="12" t="s">
        <v>22</v>
      </c>
      <c r="D23" s="9">
        <v>9000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8" x14ac:dyDescent="0.4">
      <c r="A24" s="3">
        <v>21</v>
      </c>
      <c r="B24" s="6">
        <v>37226</v>
      </c>
      <c r="C24" s="12" t="s">
        <v>23</v>
      </c>
      <c r="D24" s="9">
        <v>80000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8" x14ac:dyDescent="0.4">
      <c r="A25" s="3">
        <v>22</v>
      </c>
      <c r="B25" s="6">
        <v>42339</v>
      </c>
      <c r="C25" s="12" t="s">
        <v>24</v>
      </c>
      <c r="D25" s="9">
        <v>110000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8" x14ac:dyDescent="0.4">
      <c r="A26" s="3">
        <v>23</v>
      </c>
      <c r="B26" s="6">
        <v>38353</v>
      </c>
      <c r="C26" s="12" t="s">
        <v>25</v>
      </c>
      <c r="D26" s="9">
        <v>105000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8" x14ac:dyDescent="0.4">
      <c r="A27" s="3">
        <v>24</v>
      </c>
      <c r="B27" s="6">
        <v>38353</v>
      </c>
      <c r="C27" s="12" t="s">
        <v>26</v>
      </c>
      <c r="D27" s="9">
        <v>5000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8" x14ac:dyDescent="0.4">
      <c r="A28" s="3">
        <v>25</v>
      </c>
      <c r="B28" s="6">
        <v>36923</v>
      </c>
      <c r="C28" s="12" t="s">
        <v>27</v>
      </c>
      <c r="D28" s="9">
        <v>20000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8" x14ac:dyDescent="0.4">
      <c r="A29" s="3">
        <v>26</v>
      </c>
      <c r="B29" s="6">
        <v>40210</v>
      </c>
      <c r="C29" s="12" t="s">
        <v>28</v>
      </c>
      <c r="D29" s="9">
        <v>15000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8" x14ac:dyDescent="0.4">
      <c r="A30" s="3">
        <v>27</v>
      </c>
      <c r="B30" s="6">
        <v>42064</v>
      </c>
      <c r="C30" s="12" t="s">
        <v>29</v>
      </c>
      <c r="D30" s="9">
        <v>6000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8" x14ac:dyDescent="0.4">
      <c r="A31" s="3">
        <v>28</v>
      </c>
      <c r="B31" s="6">
        <v>43891</v>
      </c>
      <c r="C31" s="12" t="s">
        <v>30</v>
      </c>
      <c r="D31" s="9">
        <v>10000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8" x14ac:dyDescent="0.4">
      <c r="A32" s="3">
        <v>29</v>
      </c>
      <c r="B32" s="6">
        <v>45717</v>
      </c>
      <c r="C32" s="12" t="s">
        <v>31</v>
      </c>
      <c r="D32" s="9">
        <v>4000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8.5" thickBot="1" x14ac:dyDescent="0.45">
      <c r="A33" s="4">
        <v>30</v>
      </c>
      <c r="B33" s="7">
        <v>11383</v>
      </c>
      <c r="C33" s="13" t="s">
        <v>32</v>
      </c>
      <c r="D33" s="10">
        <v>8000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8.5" customHeight="1" thickBot="1" x14ac:dyDescent="0.45">
      <c r="A34" s="107" t="s">
        <v>302</v>
      </c>
      <c r="B34" s="108"/>
      <c r="C34" s="108"/>
      <c r="D34" s="109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8" customHeight="1" x14ac:dyDescent="0.4">
      <c r="A35" s="110" t="s">
        <v>303</v>
      </c>
      <c r="B35" s="112"/>
      <c r="C35" s="112"/>
      <c r="D35" s="1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8.5" customHeight="1" x14ac:dyDescent="0.4">
      <c r="A36" s="114" t="s">
        <v>304</v>
      </c>
      <c r="B36" s="111"/>
      <c r="C36" s="111"/>
      <c r="D36" s="11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8.5" customHeight="1" x14ac:dyDescent="0.4">
      <c r="A37" s="114" t="s">
        <v>305</v>
      </c>
      <c r="B37" s="111"/>
      <c r="C37" s="111"/>
      <c r="D37" s="11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8.5" customHeight="1" x14ac:dyDescent="0.4">
      <c r="A38" s="114" t="s">
        <v>306</v>
      </c>
      <c r="B38" s="111"/>
      <c r="C38" s="111"/>
      <c r="D38" s="11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8.5" customHeight="1" x14ac:dyDescent="0.4">
      <c r="A39" s="114" t="s">
        <v>307</v>
      </c>
      <c r="B39" s="111"/>
      <c r="C39" s="111"/>
      <c r="D39" s="11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8.5" customHeight="1" thickBot="1" x14ac:dyDescent="0.45">
      <c r="A40" s="116" t="s">
        <v>308</v>
      </c>
      <c r="B40" s="117"/>
      <c r="C40" s="117"/>
      <c r="D40" s="11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ht="1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ht="1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ht="1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ht="18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ht="18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18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ht="18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ht="18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ht="18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 spans="1:18" ht="18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1:18" ht="18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 spans="1:18" ht="18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 spans="1:18" ht="18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 spans="1:18" ht="18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 spans="1:18" ht="18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 spans="1:18" ht="18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1:18" ht="18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</row>
    <row r="1012" spans="1:18" ht="18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</row>
    <row r="1013" spans="1:18" ht="18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</row>
    <row r="1014" spans="1:18" ht="18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</row>
    <row r="1015" spans="1:18" ht="18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</row>
    <row r="1016" spans="1:18" ht="18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</row>
    <row r="1017" spans="1:18" ht="18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</row>
    <row r="1018" spans="1:18" ht="18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</row>
    <row r="1019" spans="1:18" ht="18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</row>
    <row r="1020" spans="1:18" ht="18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</row>
    <row r="1021" spans="1:18" ht="18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</row>
    <row r="1022" spans="1:18" ht="18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</row>
    <row r="1023" spans="1:18" ht="18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</row>
    <row r="1024" spans="1:18" ht="18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</row>
    <row r="1025" spans="1:18" ht="18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</row>
    <row r="1026" spans="1:18" ht="18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</row>
    <row r="1027" spans="1:18" ht="18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</row>
    <row r="1028" spans="1:18" ht="18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1:18" ht="18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</row>
    <row r="1030" spans="1:18" ht="18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1:18" ht="18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 spans="1:18" ht="18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</row>
    <row r="1033" spans="1:18" ht="18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 spans="1:18" ht="18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</row>
    <row r="1035" spans="1:18" ht="18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spans="1:18" ht="18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</row>
    <row r="1037" spans="1:18" ht="18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 spans="1:18" ht="18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</row>
    <row r="1039" spans="1:18" ht="18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 spans="1:18" ht="18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</row>
    <row r="1041" spans="1:18" ht="18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</row>
    <row r="1042" spans="1:18" ht="18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</row>
    <row r="1043" spans="1:18" ht="18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</row>
    <row r="1044" spans="1:18" ht="18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</row>
    <row r="1045" spans="1:18" ht="18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</row>
    <row r="1046" spans="1:18" ht="18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</row>
    <row r="1047" spans="1:18" ht="18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</row>
    <row r="1048" spans="1:18" ht="18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</row>
    <row r="1049" spans="1:18" ht="18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</row>
    <row r="1050" spans="1:18" ht="18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</row>
    <row r="1051" spans="1:18" ht="18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</row>
    <row r="1052" spans="1:18" ht="18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</row>
    <row r="1053" spans="1:18" ht="18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</row>
    <row r="1054" spans="1:18" ht="18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</row>
    <row r="1055" spans="1:18" ht="18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</row>
    <row r="1056" spans="1:18" ht="18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</row>
    <row r="1057" spans="1:18" ht="18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</row>
    <row r="1058" spans="1:18" ht="18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</row>
    <row r="1059" spans="1:18" ht="18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</row>
    <row r="1060" spans="1:18" ht="18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 spans="1:18" ht="18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 spans="1:18" ht="18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</row>
    <row r="1063" spans="1:18" ht="18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</row>
    <row r="1064" spans="1:18" ht="18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</row>
    <row r="1065" spans="1:18" ht="18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 spans="1:18" ht="18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</row>
    <row r="1067" spans="1:18" ht="18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 spans="1:18" ht="18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</row>
    <row r="1069" spans="1:18" ht="18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1:18" ht="18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</row>
    <row r="1071" spans="1:18" ht="18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</row>
    <row r="1072" spans="1:18" ht="18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</row>
    <row r="1073" spans="1:18" ht="18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</row>
    <row r="1074" spans="1:18" ht="18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</row>
    <row r="1075" spans="1:18" ht="18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</row>
    <row r="1076" spans="1:18" ht="18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</row>
    <row r="1077" spans="1:18" ht="18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</row>
    <row r="1078" spans="1:18" ht="18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</row>
    <row r="1079" spans="1:18" ht="18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</row>
    <row r="1080" spans="1:18" ht="18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</row>
    <row r="1081" spans="1:18" ht="18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</row>
    <row r="1082" spans="1:18" ht="18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</row>
    <row r="1083" spans="1:18" ht="18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</row>
    <row r="1084" spans="1:18" ht="18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</row>
    <row r="1085" spans="1:18" ht="18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</row>
    <row r="1086" spans="1:18" ht="18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</row>
    <row r="1087" spans="1:18" ht="18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</row>
    <row r="1088" spans="1:18" ht="18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</row>
    <row r="1089" spans="1:18" ht="18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</row>
    <row r="1090" spans="1:18" ht="18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</row>
    <row r="1091" spans="1:18" ht="18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</row>
    <row r="1092" spans="1:18" ht="18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</row>
    <row r="1093" spans="1:18" ht="18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 spans="1:18" ht="18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</row>
    <row r="1095" spans="1:18" ht="18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</row>
    <row r="1096" spans="1:18" ht="18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</row>
    <row r="1097" spans="1:18" ht="18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</row>
    <row r="1098" spans="1:18" ht="18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</row>
    <row r="1099" spans="1:18" ht="18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 spans="1:18" ht="18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</row>
    <row r="1101" spans="1:18" ht="18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</row>
    <row r="1102" spans="1:18" ht="18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</row>
    <row r="1103" spans="1:18" ht="18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</row>
    <row r="1104" spans="1:18" ht="18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</row>
    <row r="1105" spans="1:18" ht="18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</row>
    <row r="1106" spans="1:18" ht="18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</row>
    <row r="1107" spans="1:18" ht="18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</row>
    <row r="1108" spans="1:18" ht="18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</row>
    <row r="1109" spans="1:18" ht="18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</row>
    <row r="1110" spans="1:18" ht="18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</row>
    <row r="1111" spans="1:18" ht="18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</row>
    <row r="1112" spans="1:18" ht="18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</row>
    <row r="1113" spans="1:18" ht="18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</row>
    <row r="1114" spans="1:18" ht="18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</row>
    <row r="1115" spans="1:18" ht="18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</row>
    <row r="1116" spans="1:18" ht="18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</row>
    <row r="1117" spans="1:18" ht="18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</row>
    <row r="1118" spans="1:18" ht="18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</row>
    <row r="1119" spans="1:18" ht="18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</row>
    <row r="1120" spans="1:18" ht="18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</row>
    <row r="1121" spans="1:18" ht="18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</row>
    <row r="1122" spans="1:18" ht="18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</row>
    <row r="1123" spans="1:18" ht="18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</row>
    <row r="1124" spans="1:18" ht="18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</row>
    <row r="1125" spans="1:18" ht="18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</row>
    <row r="1126" spans="1:18" ht="18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</row>
    <row r="1127" spans="1:18" ht="18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</row>
    <row r="1128" spans="1:18" ht="18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</row>
    <row r="1129" spans="1:18" ht="18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</row>
    <row r="1130" spans="1:18" ht="18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</row>
    <row r="1131" spans="1:18" ht="18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</row>
    <row r="1132" spans="1:18" ht="18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</row>
    <row r="1133" spans="1:18" ht="18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</row>
    <row r="1134" spans="1:18" ht="18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</row>
    <row r="1135" spans="1:18" ht="18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</row>
    <row r="1136" spans="1:18" ht="18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</row>
    <row r="1137" spans="1:18" ht="18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</row>
    <row r="1138" spans="1:18" ht="18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</row>
    <row r="1139" spans="1:18" ht="18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</row>
    <row r="1140" spans="1:18" ht="18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</row>
    <row r="1141" spans="1:18" ht="18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</row>
    <row r="1142" spans="1:18" ht="18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</row>
    <row r="1143" spans="1:18" ht="18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</row>
    <row r="1144" spans="1:18" ht="18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 spans="1:18" ht="18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</row>
    <row r="1146" spans="1:18" ht="18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 spans="1:18" ht="18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</row>
    <row r="1148" spans="1:18" ht="18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</row>
    <row r="1149" spans="1:18" ht="18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</row>
    <row r="1150" spans="1:18" ht="18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</row>
    <row r="1151" spans="1:18" ht="18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1:18" ht="18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</row>
    <row r="1153" spans="1:18" ht="18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</row>
    <row r="1154" spans="1:18" ht="18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</row>
    <row r="1155" spans="1:18" ht="18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 spans="1:18" ht="18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</row>
    <row r="1157" spans="1:18" ht="18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</row>
    <row r="1158" spans="1:18" ht="18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</row>
    <row r="1159" spans="1:18" ht="18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</row>
    <row r="1160" spans="1:18" ht="18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</row>
    <row r="1161" spans="1:18" ht="18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</row>
    <row r="1162" spans="1:18" ht="18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</row>
    <row r="1163" spans="1:18" ht="18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</row>
    <row r="1164" spans="1:18" ht="18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</row>
    <row r="1165" spans="1:18" ht="18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</row>
    <row r="1166" spans="1:18" ht="18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</row>
    <row r="1167" spans="1:18" ht="18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</row>
    <row r="1168" spans="1:18" ht="18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</row>
    <row r="1169" spans="1:18" ht="18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</row>
    <row r="1170" spans="1:18" ht="18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</row>
    <row r="1171" spans="1:18" ht="18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</row>
    <row r="1172" spans="1:18" ht="18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</row>
    <row r="1173" spans="1:18" ht="18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</row>
    <row r="1174" spans="1:18" ht="18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</row>
    <row r="1175" spans="1:18" ht="18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</row>
    <row r="1176" spans="1:18" ht="18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</row>
    <row r="1177" spans="1:18" ht="18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</row>
    <row r="1178" spans="1:18" ht="18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</row>
    <row r="1179" spans="1:18" ht="18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</row>
    <row r="1180" spans="1:18" ht="18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</row>
    <row r="1181" spans="1:18" ht="18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</row>
    <row r="1182" spans="1:18" ht="18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</row>
    <row r="1183" spans="1:18" ht="18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 spans="1:18" ht="18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</row>
    <row r="1185" spans="1:18" ht="18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</row>
    <row r="1186" spans="1:18" ht="18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</row>
    <row r="1187" spans="1:18" ht="18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</row>
    <row r="1188" spans="1:18" ht="18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</row>
    <row r="1189" spans="1:18" ht="18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</row>
    <row r="1190" spans="1:18" ht="18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</row>
    <row r="1191" spans="1:18" ht="18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</row>
    <row r="1192" spans="1:18" ht="18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</row>
    <row r="1193" spans="1:18" ht="18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</row>
    <row r="1194" spans="1:18" ht="18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</row>
    <row r="1195" spans="1:18" ht="18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</row>
    <row r="1196" spans="1:18" ht="18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</row>
    <row r="1197" spans="1:18" ht="18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</row>
    <row r="1198" spans="1:18" ht="18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</row>
    <row r="1199" spans="1:18" ht="18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</row>
    <row r="1200" spans="1:18" ht="18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</row>
    <row r="1201" spans="1:18" ht="18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</row>
    <row r="1202" spans="1:18" ht="18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</row>
    <row r="1203" spans="1:18" ht="18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</row>
    <row r="1204" spans="1:18" ht="18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</row>
    <row r="1205" spans="1:18" ht="18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</row>
    <row r="1206" spans="1:18" ht="18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</row>
    <row r="1207" spans="1:18" ht="18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</row>
    <row r="1208" spans="1:18" ht="18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</row>
    <row r="1209" spans="1:18" ht="18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</row>
    <row r="1210" spans="1:18" ht="18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</row>
    <row r="1211" spans="1:18" ht="18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</row>
    <row r="1212" spans="1:18" ht="18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</row>
    <row r="1213" spans="1:18" ht="18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</row>
    <row r="1214" spans="1:18" ht="18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</row>
    <row r="1215" spans="1:18" ht="18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</row>
    <row r="1216" spans="1:18" ht="18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</row>
    <row r="1217" spans="1:18" ht="18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</row>
    <row r="1218" spans="1:18" ht="18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</row>
    <row r="1219" spans="1:18" ht="18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</row>
    <row r="1220" spans="1:18" ht="18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</row>
    <row r="1221" spans="1:18" ht="18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</row>
    <row r="1222" spans="1:18" ht="18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</row>
    <row r="1223" spans="1:18" ht="18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</row>
    <row r="1224" spans="1:18" ht="18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</row>
    <row r="1225" spans="1:18" ht="18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</row>
    <row r="1226" spans="1:18" ht="18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</row>
    <row r="1227" spans="1:18" ht="18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</row>
    <row r="1228" spans="1:18" ht="18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</row>
    <row r="1229" spans="1:18" ht="18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</row>
    <row r="1230" spans="1:18" ht="18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</row>
    <row r="1231" spans="1:18" ht="18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</row>
    <row r="1232" spans="1:18" ht="18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</row>
    <row r="1233" spans="1:18" ht="18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</row>
    <row r="1234" spans="1:18" ht="18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</row>
    <row r="1235" spans="1:18" ht="18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</row>
    <row r="1236" spans="1:18" ht="18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</row>
    <row r="1237" spans="1:18" ht="18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</row>
    <row r="1238" spans="1:18" ht="18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</row>
    <row r="1239" spans="1:18" ht="18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</row>
    <row r="1240" spans="1:18" ht="18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</row>
    <row r="1241" spans="1:18" ht="18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</row>
    <row r="1242" spans="1:18" ht="18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</row>
    <row r="1243" spans="1:18" ht="18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</row>
    <row r="1244" spans="1:18" ht="18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</row>
    <row r="1245" spans="1:18" ht="18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</row>
    <row r="1246" spans="1:18" ht="18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</row>
    <row r="1247" spans="1:18" ht="18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</row>
    <row r="1248" spans="1:18" ht="18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</row>
    <row r="1249" spans="1:18" ht="18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</row>
    <row r="1250" spans="1:18" ht="18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</row>
    <row r="1251" spans="1:18" ht="18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</row>
    <row r="1252" spans="1:18" ht="18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</row>
    <row r="1253" spans="1:18" ht="18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</row>
    <row r="1254" spans="1:18" ht="18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</row>
    <row r="1255" spans="1:18" ht="18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</row>
    <row r="1256" spans="1:18" ht="18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</row>
    <row r="1257" spans="1:18" ht="18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</row>
    <row r="1258" spans="1:18" ht="18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</row>
    <row r="1259" spans="1:18" ht="18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</row>
    <row r="1260" spans="1:18" ht="18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</row>
    <row r="1261" spans="1:18" ht="18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</row>
    <row r="1262" spans="1:18" ht="18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</row>
    <row r="1263" spans="1:18" ht="18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</row>
    <row r="1264" spans="1:18" ht="18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</row>
    <row r="1265" spans="1:18" ht="18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</row>
    <row r="1266" spans="1:18" ht="18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</row>
    <row r="1267" spans="1:18" ht="18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</row>
    <row r="1268" spans="1:18" ht="18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</row>
    <row r="1269" spans="1:18" ht="18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</row>
    <row r="1270" spans="1:18" ht="18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</row>
    <row r="1271" spans="1:18" ht="18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</row>
    <row r="1272" spans="1:18" ht="18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</row>
    <row r="1273" spans="1:18" ht="18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</row>
    <row r="1274" spans="1:18" ht="18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</row>
    <row r="1275" spans="1:18" ht="18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</row>
    <row r="1276" spans="1:18" ht="18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</row>
    <row r="1277" spans="1:18" ht="18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</row>
    <row r="1278" spans="1:18" ht="18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</row>
    <row r="1279" spans="1:18" ht="18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</row>
    <row r="1280" spans="1:18" ht="18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</row>
    <row r="1281" spans="1:18" ht="18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</row>
    <row r="1282" spans="1:18" ht="18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</row>
    <row r="1283" spans="1:18" ht="18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</row>
    <row r="1284" spans="1:18" ht="18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</row>
    <row r="1285" spans="1:18" ht="18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</row>
    <row r="1286" spans="1:18" ht="18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</row>
    <row r="1287" spans="1:18" ht="18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</row>
    <row r="1288" spans="1:18" ht="18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</row>
    <row r="1289" spans="1:18" ht="18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</row>
    <row r="1290" spans="1:18" ht="18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</row>
    <row r="1291" spans="1:18" ht="18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</row>
    <row r="1292" spans="1:18" ht="18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</row>
    <row r="1293" spans="1:18" ht="18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</row>
    <row r="1294" spans="1:18" ht="18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</row>
    <row r="1295" spans="1:18" ht="18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</row>
    <row r="1296" spans="1:18" ht="18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</row>
    <row r="1297" spans="1:18" ht="18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</row>
    <row r="1298" spans="1:18" ht="18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</row>
    <row r="1299" spans="1:18" ht="18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</row>
    <row r="1300" spans="1:18" ht="18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</row>
    <row r="1301" spans="1:18" ht="18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</row>
    <row r="1302" spans="1:18" ht="18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</row>
    <row r="1303" spans="1:18" ht="18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</row>
    <row r="1304" spans="1:18" ht="18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</row>
    <row r="1305" spans="1:18" ht="18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</row>
    <row r="1306" spans="1:18" ht="18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</row>
    <row r="1307" spans="1:18" ht="18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</row>
    <row r="1308" spans="1:18" ht="18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</row>
    <row r="1309" spans="1:18" ht="18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</row>
    <row r="1310" spans="1:18" ht="18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</row>
    <row r="1311" spans="1:18" ht="18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</row>
    <row r="1312" spans="1:18" ht="18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</row>
    <row r="1313" spans="1:18" ht="18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</row>
    <row r="1314" spans="1:18" ht="18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</row>
    <row r="1315" spans="1:18" ht="18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</row>
    <row r="1316" spans="1:18" ht="18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</row>
    <row r="1317" spans="1:18" ht="18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</row>
    <row r="1318" spans="1:18" ht="18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</row>
    <row r="1319" spans="1:18" ht="18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</row>
    <row r="1320" spans="1:18" ht="18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</row>
    <row r="1321" spans="1:18" ht="18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</row>
    <row r="1322" spans="1:18" ht="18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</row>
    <row r="1323" spans="1:18" ht="18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</row>
    <row r="1324" spans="1:18" ht="18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</row>
    <row r="1325" spans="1:18" ht="18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</row>
    <row r="1326" spans="1:18" ht="18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</row>
    <row r="1327" spans="1:18" ht="18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</row>
    <row r="1328" spans="1:18" ht="18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</row>
    <row r="1329" spans="1:18" ht="18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</row>
    <row r="1330" spans="1:18" ht="18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</row>
    <row r="1331" spans="1:18" ht="18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</row>
    <row r="1332" spans="1:18" ht="18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</row>
    <row r="1333" spans="1:18" ht="18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</row>
    <row r="1334" spans="1:18" ht="18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</row>
    <row r="1335" spans="1:18" ht="18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</row>
    <row r="1336" spans="1:18" ht="18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</row>
    <row r="1337" spans="1:18" ht="18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</row>
    <row r="1338" spans="1:18" ht="18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</row>
    <row r="1339" spans="1:18" ht="18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</row>
    <row r="1340" spans="1:18" ht="18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</row>
    <row r="1341" spans="1:18" ht="18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</row>
    <row r="1342" spans="1:18" ht="18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</row>
    <row r="1343" spans="1:18" ht="18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</row>
    <row r="1344" spans="1:18" ht="18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</row>
    <row r="1345" spans="1:18" ht="18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</row>
    <row r="1346" spans="1:18" ht="18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</row>
    <row r="1347" spans="1:18" ht="18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</row>
    <row r="1348" spans="1:18" ht="18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</row>
    <row r="1349" spans="1:18" ht="18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</row>
    <row r="1350" spans="1:18" ht="18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</row>
    <row r="1351" spans="1:18" ht="18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</row>
    <row r="1352" spans="1:18" ht="18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</row>
    <row r="1353" spans="1:18" ht="18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</row>
    <row r="1354" spans="1:18" ht="18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</row>
    <row r="1355" spans="1:18" ht="18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</row>
    <row r="1356" spans="1:18" ht="18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</row>
    <row r="1357" spans="1:18" ht="18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</row>
    <row r="1358" spans="1:18" ht="18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</row>
    <row r="1359" spans="1:18" ht="18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</row>
    <row r="1360" spans="1:18" ht="18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</row>
    <row r="1361" spans="1:18" ht="18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</row>
    <row r="1362" spans="1:18" ht="18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</row>
    <row r="1363" spans="1:18" ht="18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</row>
    <row r="1364" spans="1:18" ht="18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</row>
    <row r="1365" spans="1:18" ht="18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</row>
    <row r="1366" spans="1:18" ht="18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</row>
    <row r="1367" spans="1:18" ht="18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</row>
    <row r="1368" spans="1:18" ht="18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</row>
    <row r="1369" spans="1:18" ht="18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</row>
    <row r="1370" spans="1:18" ht="18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</row>
    <row r="1371" spans="1:18" ht="18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</row>
    <row r="1372" spans="1:18" ht="18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</row>
    <row r="1373" spans="1:18" ht="18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</row>
    <row r="1374" spans="1:18" ht="18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</row>
    <row r="1375" spans="1:18" ht="18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</row>
    <row r="1376" spans="1:18" ht="18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</row>
    <row r="1377" spans="1:18" ht="18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</row>
    <row r="1378" spans="1:18" ht="18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</row>
    <row r="1379" spans="1:18" ht="18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</row>
    <row r="1380" spans="1:18" ht="18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</row>
    <row r="1381" spans="1:18" ht="18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</row>
    <row r="1382" spans="1:18" ht="18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</row>
    <row r="1383" spans="1:18" ht="18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</row>
    <row r="1384" spans="1:18" ht="18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</row>
    <row r="1385" spans="1:18" ht="18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</row>
    <row r="1386" spans="1:18" ht="18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</row>
    <row r="1387" spans="1:18" ht="18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</row>
    <row r="1388" spans="1:18" ht="18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</row>
    <row r="1389" spans="1:18" ht="18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</row>
    <row r="1390" spans="1:18" ht="18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</row>
    <row r="1391" spans="1:18" ht="18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</row>
    <row r="1392" spans="1:18" ht="18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</row>
    <row r="1393" spans="1:18" ht="18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</row>
    <row r="1394" spans="1:18" ht="18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</row>
    <row r="1395" spans="1:18" ht="18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</row>
    <row r="1396" spans="1:18" ht="18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</row>
    <row r="1397" spans="1:18" ht="18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</row>
    <row r="1398" spans="1:18" ht="18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</row>
    <row r="1399" spans="1:18" ht="18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</row>
    <row r="1400" spans="1:18" ht="18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</row>
    <row r="1401" spans="1:18" ht="18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</row>
    <row r="1402" spans="1:18" ht="18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</row>
    <row r="1403" spans="1:18" ht="18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</row>
    <row r="1404" spans="1:18" ht="18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</row>
    <row r="1405" spans="1:18" ht="18" x14ac:dyDescent="0.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</row>
    <row r="1406" spans="1:18" ht="18" x14ac:dyDescent="0.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</row>
    <row r="1407" spans="1:18" ht="18" x14ac:dyDescent="0.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</row>
    <row r="1408" spans="1:18" ht="18" x14ac:dyDescent="0.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</row>
    <row r="1409" spans="1:18" ht="18" x14ac:dyDescent="0.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</row>
    <row r="1410" spans="1:18" ht="18" x14ac:dyDescent="0.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</row>
    <row r="1411" spans="1:18" ht="18" x14ac:dyDescent="0.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</row>
    <row r="1412" spans="1:18" ht="18" x14ac:dyDescent="0.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</row>
    <row r="1413" spans="1:18" ht="18" x14ac:dyDescent="0.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</row>
    <row r="1414" spans="1:18" ht="18" x14ac:dyDescent="0.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</row>
    <row r="1415" spans="1:18" ht="18" x14ac:dyDescent="0.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</row>
    <row r="1416" spans="1:18" ht="18" x14ac:dyDescent="0.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</row>
    <row r="1417" spans="1:18" ht="18" x14ac:dyDescent="0.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</row>
    <row r="1418" spans="1:18" ht="18" x14ac:dyDescent="0.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</row>
    <row r="1419" spans="1:18" ht="18" x14ac:dyDescent="0.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</row>
    <row r="1420" spans="1:18" ht="18" x14ac:dyDescent="0.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</row>
    <row r="1421" spans="1:18" ht="18" x14ac:dyDescent="0.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</row>
    <row r="1422" spans="1:18" ht="18" x14ac:dyDescent="0.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</row>
    <row r="1423" spans="1:18" ht="18" x14ac:dyDescent="0.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</row>
    <row r="1424" spans="1:18" ht="18" x14ac:dyDescent="0.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</row>
    <row r="1425" spans="1:18" ht="18" x14ac:dyDescent="0.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</row>
    <row r="1426" spans="1:18" ht="18" x14ac:dyDescent="0.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</row>
    <row r="1427" spans="1:18" ht="18" x14ac:dyDescent="0.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</row>
    <row r="1428" spans="1:18" ht="18" x14ac:dyDescent="0.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</row>
    <row r="1429" spans="1:18" ht="18" x14ac:dyDescent="0.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</row>
    <row r="1430" spans="1:18" ht="18" x14ac:dyDescent="0.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</row>
    <row r="1431" spans="1:18" ht="18" x14ac:dyDescent="0.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</row>
    <row r="1432" spans="1:18" ht="18" x14ac:dyDescent="0.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</row>
    <row r="1433" spans="1:18" ht="18" x14ac:dyDescent="0.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</row>
    <row r="1434" spans="1:18" ht="18" x14ac:dyDescent="0.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</row>
    <row r="1435" spans="1:18" ht="18" x14ac:dyDescent="0.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</row>
    <row r="1436" spans="1:18" ht="18" x14ac:dyDescent="0.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</row>
    <row r="1437" spans="1:18" ht="18" x14ac:dyDescent="0.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</row>
    <row r="1438" spans="1:18" ht="18" x14ac:dyDescent="0.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</row>
    <row r="1439" spans="1:18" ht="18" x14ac:dyDescent="0.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</row>
    <row r="1440" spans="1:18" ht="18" x14ac:dyDescent="0.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</row>
    <row r="1441" spans="1:18" ht="18" x14ac:dyDescent="0.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</row>
    <row r="1442" spans="1:18" ht="18" x14ac:dyDescent="0.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</row>
    <row r="1443" spans="1:18" ht="18" x14ac:dyDescent="0.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</row>
    <row r="1444" spans="1:18" ht="18" x14ac:dyDescent="0.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</row>
    <row r="1445" spans="1:18" ht="18" x14ac:dyDescent="0.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</row>
    <row r="1446" spans="1:18" ht="18" x14ac:dyDescent="0.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</row>
    <row r="1447" spans="1:18" ht="18" x14ac:dyDescent="0.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</row>
    <row r="1448" spans="1:18" ht="18" x14ac:dyDescent="0.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</row>
    <row r="1449" spans="1:18" ht="18" x14ac:dyDescent="0.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</row>
    <row r="1450" spans="1:18" ht="18" x14ac:dyDescent="0.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</row>
    <row r="1451" spans="1:18" ht="18" x14ac:dyDescent="0.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</row>
    <row r="1452" spans="1:18" ht="18" x14ac:dyDescent="0.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</row>
    <row r="1453" spans="1:18" ht="18" x14ac:dyDescent="0.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</row>
    <row r="1454" spans="1:18" ht="18" x14ac:dyDescent="0.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</row>
    <row r="1455" spans="1:18" ht="18" x14ac:dyDescent="0.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</row>
    <row r="1456" spans="1:18" ht="18" x14ac:dyDescent="0.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</row>
    <row r="1457" spans="1:18" ht="18" x14ac:dyDescent="0.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</row>
    <row r="1458" spans="1:18" ht="18" x14ac:dyDescent="0.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</row>
    <row r="1459" spans="1:18" ht="18" x14ac:dyDescent="0.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</row>
    <row r="1460" spans="1:18" ht="18" x14ac:dyDescent="0.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</row>
    <row r="1461" spans="1:18" ht="18" x14ac:dyDescent="0.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</row>
    <row r="1462" spans="1:18" ht="18" x14ac:dyDescent="0.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</row>
    <row r="1463" spans="1:18" ht="18" x14ac:dyDescent="0.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</row>
    <row r="1464" spans="1:18" ht="18" x14ac:dyDescent="0.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</row>
    <row r="1465" spans="1:18" ht="18" x14ac:dyDescent="0.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</row>
    <row r="1466" spans="1:18" ht="18" x14ac:dyDescent="0.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</row>
    <row r="1467" spans="1:18" ht="18" x14ac:dyDescent="0.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</row>
    <row r="1468" spans="1:18" ht="18" x14ac:dyDescent="0.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</row>
    <row r="1469" spans="1:18" ht="18" x14ac:dyDescent="0.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</row>
    <row r="1470" spans="1:18" ht="18" x14ac:dyDescent="0.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</row>
    <row r="1471" spans="1:18" ht="18" x14ac:dyDescent="0.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</row>
    <row r="1472" spans="1:18" ht="18" x14ac:dyDescent="0.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</row>
    <row r="1473" spans="1:18" ht="18" x14ac:dyDescent="0.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</row>
    <row r="1474" spans="1:18" ht="18" x14ac:dyDescent="0.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</row>
    <row r="1475" spans="1:18" ht="18" x14ac:dyDescent="0.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</row>
    <row r="1476" spans="1:18" ht="18" x14ac:dyDescent="0.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</row>
    <row r="1477" spans="1:18" ht="18" x14ac:dyDescent="0.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</row>
    <row r="1478" spans="1:18" ht="18" x14ac:dyDescent="0.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</row>
    <row r="1479" spans="1:18" ht="18" x14ac:dyDescent="0.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</row>
    <row r="1480" spans="1:18" ht="18" x14ac:dyDescent="0.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</row>
    <row r="1481" spans="1:18" ht="18" x14ac:dyDescent="0.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</row>
    <row r="1482" spans="1:18" ht="18" x14ac:dyDescent="0.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</row>
    <row r="1483" spans="1:18" ht="18" x14ac:dyDescent="0.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</row>
    <row r="1484" spans="1:18" ht="18" x14ac:dyDescent="0.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</row>
    <row r="1485" spans="1:18" ht="18" x14ac:dyDescent="0.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</row>
    <row r="1486" spans="1:18" ht="18" x14ac:dyDescent="0.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</row>
    <row r="1487" spans="1:18" ht="18" x14ac:dyDescent="0.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</row>
    <row r="1488" spans="1:18" ht="18" x14ac:dyDescent="0.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</row>
    <row r="1489" spans="1:18" ht="18" x14ac:dyDescent="0.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</row>
    <row r="1490" spans="1:18" ht="18" x14ac:dyDescent="0.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</row>
    <row r="1491" spans="1:18" ht="18" x14ac:dyDescent="0.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</row>
    <row r="1492" spans="1:18" ht="18" x14ac:dyDescent="0.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</row>
    <row r="1493" spans="1:18" ht="18" x14ac:dyDescent="0.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</row>
    <row r="1494" spans="1:18" ht="18" x14ac:dyDescent="0.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</row>
    <row r="1495" spans="1:18" ht="18" x14ac:dyDescent="0.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</row>
    <row r="1496" spans="1:18" ht="18" x14ac:dyDescent="0.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</row>
    <row r="1497" spans="1:18" ht="18" x14ac:dyDescent="0.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</row>
    <row r="1498" spans="1:18" ht="18" x14ac:dyDescent="0.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</row>
    <row r="1499" spans="1:18" ht="18" x14ac:dyDescent="0.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</row>
    <row r="1500" spans="1:18" ht="18" x14ac:dyDescent="0.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</row>
    <row r="1501" spans="1:18" ht="18" x14ac:dyDescent="0.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</row>
    <row r="1502" spans="1:18" ht="18" x14ac:dyDescent="0.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</row>
    <row r="1503" spans="1:18" ht="18" x14ac:dyDescent="0.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</row>
    <row r="1504" spans="1:18" ht="18" x14ac:dyDescent="0.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</row>
    <row r="1505" spans="1:18" ht="18" x14ac:dyDescent="0.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</row>
    <row r="1506" spans="1:18" ht="18" x14ac:dyDescent="0.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</row>
    <row r="1507" spans="1:18" ht="18" x14ac:dyDescent="0.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</row>
    <row r="1508" spans="1:18" ht="18" x14ac:dyDescent="0.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</row>
    <row r="1509" spans="1:18" ht="18" x14ac:dyDescent="0.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</row>
    <row r="1510" spans="1:18" ht="18" x14ac:dyDescent="0.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</row>
    <row r="1511" spans="1:18" ht="18" x14ac:dyDescent="0.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</row>
    <row r="1512" spans="1:18" ht="18" x14ac:dyDescent="0.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</row>
    <row r="1513" spans="1:18" ht="18" x14ac:dyDescent="0.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</row>
    <row r="1514" spans="1:18" ht="18" x14ac:dyDescent="0.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</row>
    <row r="1515" spans="1:18" ht="18" x14ac:dyDescent="0.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</row>
    <row r="1516" spans="1:18" ht="18" x14ac:dyDescent="0.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</row>
    <row r="1517" spans="1:18" ht="18" x14ac:dyDescent="0.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</row>
    <row r="1518" spans="1:18" ht="18" x14ac:dyDescent="0.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</row>
    <row r="1519" spans="1:18" ht="18" x14ac:dyDescent="0.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</row>
    <row r="1520" spans="1:18" ht="18" x14ac:dyDescent="0.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</row>
    <row r="1521" spans="1:18" ht="18" x14ac:dyDescent="0.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</row>
    <row r="1522" spans="1:18" ht="18" x14ac:dyDescent="0.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</row>
    <row r="1523" spans="1:18" ht="18" x14ac:dyDescent="0.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</row>
    <row r="1524" spans="1:18" ht="18" x14ac:dyDescent="0.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</row>
    <row r="1525" spans="1:18" ht="18" x14ac:dyDescent="0.4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</row>
    <row r="1526" spans="1:18" ht="18" x14ac:dyDescent="0.4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</row>
    <row r="1527" spans="1:18" ht="18" x14ac:dyDescent="0.4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</row>
    <row r="1528" spans="1:18" ht="18" x14ac:dyDescent="0.4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</row>
    <row r="1529" spans="1:18" ht="18" x14ac:dyDescent="0.4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</row>
    <row r="1530" spans="1:18" ht="18" x14ac:dyDescent="0.4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</row>
    <row r="1531" spans="1:18" ht="18" x14ac:dyDescent="0.4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</row>
    <row r="1532" spans="1:18" ht="18" x14ac:dyDescent="0.4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</row>
    <row r="1533" spans="1:18" ht="18" x14ac:dyDescent="0.4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</row>
    <row r="1534" spans="1:18" ht="18" x14ac:dyDescent="0.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</row>
    <row r="1535" spans="1:18" ht="18" x14ac:dyDescent="0.4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</row>
    <row r="1536" spans="1:18" ht="18" x14ac:dyDescent="0.4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</row>
    <row r="1537" spans="1:18" ht="18" x14ac:dyDescent="0.4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</row>
    <row r="1538" spans="1:18" ht="18" x14ac:dyDescent="0.4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</row>
    <row r="1539" spans="1:18" ht="18" x14ac:dyDescent="0.4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</row>
    <row r="1540" spans="1:18" ht="18" x14ac:dyDescent="0.4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</row>
    <row r="1541" spans="1:18" ht="18" x14ac:dyDescent="0.4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</row>
    <row r="1542" spans="1:18" ht="18" x14ac:dyDescent="0.4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</row>
    <row r="1543" spans="1:18" ht="18" x14ac:dyDescent="0.4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</row>
    <row r="1544" spans="1:18" ht="18" x14ac:dyDescent="0.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</row>
    <row r="1545" spans="1:18" ht="18" x14ac:dyDescent="0.4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</row>
    <row r="1546" spans="1:18" ht="18" x14ac:dyDescent="0.4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</row>
    <row r="1547" spans="1:18" ht="18" x14ac:dyDescent="0.4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</row>
    <row r="1548" spans="1:18" ht="18" x14ac:dyDescent="0.4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</row>
    <row r="1549" spans="1:18" ht="18" x14ac:dyDescent="0.4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</row>
    <row r="1550" spans="1:18" ht="18" x14ac:dyDescent="0.4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</row>
    <row r="1551" spans="1:18" ht="18" x14ac:dyDescent="0.4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</row>
    <row r="1552" spans="1:18" ht="18" x14ac:dyDescent="0.4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</row>
    <row r="1553" spans="1:18" ht="18" x14ac:dyDescent="0.4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</row>
    <row r="1554" spans="1:18" ht="18" x14ac:dyDescent="0.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</row>
    <row r="1555" spans="1:18" ht="18" x14ac:dyDescent="0.4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</row>
    <row r="1556" spans="1:18" ht="18" x14ac:dyDescent="0.4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</row>
    <row r="1557" spans="1:18" ht="18" x14ac:dyDescent="0.4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</row>
    <row r="1558" spans="1:18" ht="18" x14ac:dyDescent="0.4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</row>
    <row r="1559" spans="1:18" ht="18" x14ac:dyDescent="0.4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</row>
    <row r="1560" spans="1:18" ht="18" x14ac:dyDescent="0.4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</row>
    <row r="1561" spans="1:18" ht="18" x14ac:dyDescent="0.4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</row>
    <row r="1562" spans="1:18" ht="18" x14ac:dyDescent="0.4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</row>
    <row r="1563" spans="1:18" ht="18" x14ac:dyDescent="0.4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</row>
    <row r="1564" spans="1:18" ht="18" x14ac:dyDescent="0.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</row>
    <row r="1565" spans="1:18" ht="18" x14ac:dyDescent="0.4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</row>
    <row r="1566" spans="1:18" ht="18" x14ac:dyDescent="0.4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</row>
    <row r="1567" spans="1:18" ht="18" x14ac:dyDescent="0.4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</row>
    <row r="1568" spans="1:18" ht="18" x14ac:dyDescent="0.4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</row>
    <row r="1569" spans="1:18" ht="18" x14ac:dyDescent="0.4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</row>
    <row r="1570" spans="1:18" ht="18" x14ac:dyDescent="0.4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</row>
    <row r="1571" spans="1:18" ht="18" x14ac:dyDescent="0.4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</row>
    <row r="1572" spans="1:18" ht="18" x14ac:dyDescent="0.4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</row>
    <row r="1573" spans="1:18" ht="18" x14ac:dyDescent="0.4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</row>
    <row r="1574" spans="1:18" ht="18" x14ac:dyDescent="0.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</row>
    <row r="1575" spans="1:18" ht="18" x14ac:dyDescent="0.4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</row>
    <row r="1576" spans="1:18" ht="18" x14ac:dyDescent="0.4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</row>
    <row r="1577" spans="1:18" ht="18" x14ac:dyDescent="0.4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</row>
    <row r="1578" spans="1:18" ht="18" x14ac:dyDescent="0.4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</row>
    <row r="1579" spans="1:18" ht="18" x14ac:dyDescent="0.4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</row>
    <row r="1580" spans="1:18" ht="18" x14ac:dyDescent="0.4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</row>
    <row r="1581" spans="1:18" ht="18" x14ac:dyDescent="0.4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</row>
    <row r="1582" spans="1:18" ht="18" x14ac:dyDescent="0.4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</row>
    <row r="1583" spans="1:18" ht="18" x14ac:dyDescent="0.4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</row>
    <row r="1584" spans="1:18" ht="18" x14ac:dyDescent="0.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</row>
    <row r="1585" spans="1:18" ht="18" x14ac:dyDescent="0.4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</row>
    <row r="1586" spans="1:18" ht="18" x14ac:dyDescent="0.4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</row>
    <row r="1587" spans="1:18" ht="18" x14ac:dyDescent="0.4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</row>
    <row r="1588" spans="1:18" ht="18" x14ac:dyDescent="0.4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</row>
    <row r="1589" spans="1:18" ht="18" x14ac:dyDescent="0.4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</row>
    <row r="1590" spans="1:18" ht="18" x14ac:dyDescent="0.4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</row>
    <row r="1591" spans="1:18" ht="18" x14ac:dyDescent="0.4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</row>
    <row r="1592" spans="1:18" ht="18" x14ac:dyDescent="0.4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</row>
    <row r="1593" spans="1:18" ht="18" x14ac:dyDescent="0.4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</row>
    <row r="1594" spans="1:18" ht="18" x14ac:dyDescent="0.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</row>
    <row r="1595" spans="1:18" ht="18" x14ac:dyDescent="0.4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</row>
    <row r="1596" spans="1:18" ht="18" x14ac:dyDescent="0.4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</row>
    <row r="1597" spans="1:18" ht="18" x14ac:dyDescent="0.4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</row>
    <row r="1598" spans="1:18" ht="18" x14ac:dyDescent="0.4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</row>
    <row r="1599" spans="1:18" ht="18" x14ac:dyDescent="0.4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</row>
    <row r="1600" spans="1:18" ht="18" x14ac:dyDescent="0.4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</row>
    <row r="1601" spans="1:18" ht="18" x14ac:dyDescent="0.4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</row>
    <row r="1602" spans="1:18" ht="18" x14ac:dyDescent="0.4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</row>
    <row r="1603" spans="1:18" ht="18" x14ac:dyDescent="0.4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</row>
    <row r="1604" spans="1:18" ht="18" x14ac:dyDescent="0.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</row>
    <row r="1605" spans="1:18" ht="18" x14ac:dyDescent="0.4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</row>
    <row r="1606" spans="1:18" ht="18" x14ac:dyDescent="0.4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</row>
    <row r="1607" spans="1:18" ht="18" x14ac:dyDescent="0.4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</row>
    <row r="1608" spans="1:18" ht="18" x14ac:dyDescent="0.4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</row>
    <row r="1609" spans="1:18" ht="18" x14ac:dyDescent="0.4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</row>
    <row r="1610" spans="1:18" ht="18" x14ac:dyDescent="0.4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</row>
    <row r="1611" spans="1:18" ht="18" x14ac:dyDescent="0.4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</row>
    <row r="1612" spans="1:18" ht="18" x14ac:dyDescent="0.4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</row>
    <row r="1613" spans="1:18" ht="18" x14ac:dyDescent="0.4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</row>
    <row r="1614" spans="1:18" ht="18" x14ac:dyDescent="0.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</row>
    <row r="1615" spans="1:18" ht="18" x14ac:dyDescent="0.4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</row>
    <row r="1616" spans="1:18" ht="18" x14ac:dyDescent="0.4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</row>
    <row r="1617" spans="1:18" ht="18" x14ac:dyDescent="0.4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</row>
    <row r="1618" spans="1:18" ht="18" x14ac:dyDescent="0.4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</row>
    <row r="1619" spans="1:18" ht="18" x14ac:dyDescent="0.4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</row>
    <row r="1620" spans="1:18" ht="18" x14ac:dyDescent="0.4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</row>
    <row r="1621" spans="1:18" ht="18" x14ac:dyDescent="0.4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</row>
    <row r="1622" spans="1:18" ht="18" x14ac:dyDescent="0.4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</row>
    <row r="1623" spans="1:18" ht="18" x14ac:dyDescent="0.4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</row>
    <row r="1624" spans="1:18" ht="18" x14ac:dyDescent="0.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</row>
    <row r="1625" spans="1:18" ht="18" x14ac:dyDescent="0.4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</row>
    <row r="1626" spans="1:18" ht="18" x14ac:dyDescent="0.4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</row>
    <row r="1627" spans="1:18" ht="18" x14ac:dyDescent="0.4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</row>
    <row r="1628" spans="1:18" ht="18" x14ac:dyDescent="0.4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</row>
    <row r="1629" spans="1:18" ht="18" x14ac:dyDescent="0.4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</row>
    <row r="1630" spans="1:18" ht="18" x14ac:dyDescent="0.4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</row>
    <row r="1631" spans="1:18" ht="18" x14ac:dyDescent="0.4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</row>
    <row r="1632" spans="1:18" ht="18" x14ac:dyDescent="0.4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</row>
    <row r="1633" spans="1:18" ht="18" x14ac:dyDescent="0.4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</row>
    <row r="1634" spans="1:18" ht="18" x14ac:dyDescent="0.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</row>
    <row r="1635" spans="1:18" ht="18" x14ac:dyDescent="0.4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</row>
    <row r="1636" spans="1:18" ht="18" x14ac:dyDescent="0.4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</row>
    <row r="1637" spans="1:18" ht="18" x14ac:dyDescent="0.4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</row>
    <row r="1638" spans="1:18" ht="18" x14ac:dyDescent="0.4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</row>
    <row r="1639" spans="1:18" ht="18" x14ac:dyDescent="0.4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</row>
    <row r="1640" spans="1:18" ht="18" x14ac:dyDescent="0.4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</row>
    <row r="1641" spans="1:18" ht="18" x14ac:dyDescent="0.4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</row>
    <row r="1642" spans="1:18" ht="18" x14ac:dyDescent="0.4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</row>
    <row r="1643" spans="1:18" ht="18" x14ac:dyDescent="0.4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</row>
    <row r="1644" spans="1:18" ht="18" x14ac:dyDescent="0.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</row>
    <row r="1645" spans="1:18" ht="18" x14ac:dyDescent="0.4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</row>
    <row r="1646" spans="1:18" ht="18" x14ac:dyDescent="0.4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</row>
    <row r="1647" spans="1:18" ht="18" x14ac:dyDescent="0.4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</row>
    <row r="1648" spans="1:18" ht="18" x14ac:dyDescent="0.4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</row>
    <row r="1649" spans="1:18" ht="18" x14ac:dyDescent="0.4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</row>
    <row r="1650" spans="1:18" ht="18" x14ac:dyDescent="0.4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</row>
    <row r="1651" spans="1:18" ht="18" x14ac:dyDescent="0.4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</row>
    <row r="1652" spans="1:18" ht="18" x14ac:dyDescent="0.4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</row>
    <row r="1653" spans="1:18" ht="18" x14ac:dyDescent="0.4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</row>
    <row r="1654" spans="1:18" ht="18" x14ac:dyDescent="0.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</row>
    <row r="1655" spans="1:18" ht="18" x14ac:dyDescent="0.4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</row>
    <row r="1656" spans="1:18" ht="18" x14ac:dyDescent="0.4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</row>
    <row r="1657" spans="1:18" ht="18" x14ac:dyDescent="0.4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</row>
    <row r="1658" spans="1:18" ht="18" x14ac:dyDescent="0.4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</row>
    <row r="1659" spans="1:18" ht="18" x14ac:dyDescent="0.4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</row>
    <row r="1660" spans="1:18" ht="18" x14ac:dyDescent="0.4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</row>
    <row r="1661" spans="1:18" ht="18" x14ac:dyDescent="0.4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</row>
    <row r="1662" spans="1:18" ht="18" x14ac:dyDescent="0.4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</row>
    <row r="1663" spans="1:18" ht="18" x14ac:dyDescent="0.4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</row>
    <row r="1664" spans="1:18" ht="18" x14ac:dyDescent="0.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</row>
    <row r="1665" spans="1:18" ht="18" x14ac:dyDescent="0.4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</row>
    <row r="1666" spans="1:18" ht="18" x14ac:dyDescent="0.4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</row>
    <row r="1667" spans="1:18" ht="18" x14ac:dyDescent="0.4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</row>
    <row r="1668" spans="1:18" ht="18" x14ac:dyDescent="0.4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</row>
    <row r="1669" spans="1:18" ht="18" x14ac:dyDescent="0.4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</row>
    <row r="1670" spans="1:18" ht="18" x14ac:dyDescent="0.4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</row>
    <row r="1671" spans="1:18" ht="18" x14ac:dyDescent="0.4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</row>
    <row r="1672" spans="1:18" ht="18" x14ac:dyDescent="0.4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</row>
    <row r="1673" spans="1:18" ht="18" x14ac:dyDescent="0.4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</row>
    <row r="1674" spans="1:18" ht="18" x14ac:dyDescent="0.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</row>
    <row r="1675" spans="1:18" ht="18" x14ac:dyDescent="0.4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</row>
    <row r="1676" spans="1:18" ht="18" x14ac:dyDescent="0.4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</row>
    <row r="1677" spans="1:18" ht="18" x14ac:dyDescent="0.4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</row>
    <row r="1678" spans="1:18" ht="18" x14ac:dyDescent="0.4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</row>
    <row r="1679" spans="1:18" ht="18" x14ac:dyDescent="0.4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</row>
    <row r="1680" spans="1:18" ht="18" x14ac:dyDescent="0.4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</row>
    <row r="1681" spans="1:18" ht="18" x14ac:dyDescent="0.4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</row>
    <row r="1682" spans="1:18" ht="18" x14ac:dyDescent="0.4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</row>
    <row r="1683" spans="1:18" ht="18" x14ac:dyDescent="0.4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</row>
    <row r="1684" spans="1:18" ht="18" x14ac:dyDescent="0.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</row>
    <row r="1685" spans="1:18" ht="18" x14ac:dyDescent="0.4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</row>
    <row r="1686" spans="1:18" ht="18" x14ac:dyDescent="0.4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</row>
    <row r="1687" spans="1:18" ht="18" x14ac:dyDescent="0.4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</row>
    <row r="1688" spans="1:18" ht="18" x14ac:dyDescent="0.4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</row>
    <row r="1689" spans="1:18" ht="18" x14ac:dyDescent="0.4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</row>
    <row r="1690" spans="1:18" ht="18" x14ac:dyDescent="0.4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</row>
    <row r="1691" spans="1:18" ht="18" x14ac:dyDescent="0.4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</row>
    <row r="1692" spans="1:18" ht="18" x14ac:dyDescent="0.4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</row>
    <row r="1693" spans="1:18" ht="18" x14ac:dyDescent="0.4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</row>
    <row r="1694" spans="1:18" ht="18" x14ac:dyDescent="0.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</row>
    <row r="1695" spans="1:18" ht="18" x14ac:dyDescent="0.4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</row>
    <row r="1696" spans="1:18" ht="18" x14ac:dyDescent="0.4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</row>
    <row r="1697" spans="1:18" ht="18" x14ac:dyDescent="0.4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</row>
    <row r="1698" spans="1:18" ht="18" x14ac:dyDescent="0.4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</row>
    <row r="1699" spans="1:18" ht="18" x14ac:dyDescent="0.4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</row>
    <row r="1700" spans="1:18" ht="18" x14ac:dyDescent="0.4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</row>
    <row r="1701" spans="1:18" ht="18" x14ac:dyDescent="0.4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</row>
    <row r="1702" spans="1:18" ht="18" x14ac:dyDescent="0.4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</row>
    <row r="1703" spans="1:18" ht="18" x14ac:dyDescent="0.4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</row>
    <row r="1704" spans="1:18" ht="18" x14ac:dyDescent="0.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</row>
    <row r="1705" spans="1:18" ht="18" x14ac:dyDescent="0.4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</row>
    <row r="1706" spans="1:18" ht="18" x14ac:dyDescent="0.4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</row>
    <row r="1707" spans="1:18" ht="18" x14ac:dyDescent="0.4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</row>
    <row r="1708" spans="1:18" ht="18" x14ac:dyDescent="0.4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</row>
    <row r="1709" spans="1:18" ht="18" x14ac:dyDescent="0.4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</row>
    <row r="1710" spans="1:18" ht="18" x14ac:dyDescent="0.4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</row>
    <row r="1711" spans="1:18" ht="18" x14ac:dyDescent="0.4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</row>
    <row r="1712" spans="1:18" ht="18" x14ac:dyDescent="0.4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</row>
    <row r="1713" spans="1:18" ht="18" x14ac:dyDescent="0.4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</row>
    <row r="1714" spans="1:18" ht="18" x14ac:dyDescent="0.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</row>
    <row r="1715" spans="1:18" ht="18" x14ac:dyDescent="0.4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</row>
    <row r="1716" spans="1:18" ht="18" x14ac:dyDescent="0.4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</row>
    <row r="1717" spans="1:18" ht="18" x14ac:dyDescent="0.4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</row>
    <row r="1718" spans="1:18" ht="18" x14ac:dyDescent="0.4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</row>
    <row r="1719" spans="1:18" ht="18" x14ac:dyDescent="0.4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</row>
    <row r="1720" spans="1:18" ht="18" x14ac:dyDescent="0.4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</row>
    <row r="1721" spans="1:18" ht="18" x14ac:dyDescent="0.4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</row>
    <row r="1722" spans="1:18" ht="18" x14ac:dyDescent="0.4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</row>
    <row r="1723" spans="1:18" ht="18" x14ac:dyDescent="0.4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</row>
    <row r="1724" spans="1:18" ht="18" x14ac:dyDescent="0.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</row>
    <row r="1725" spans="1:18" ht="18" x14ac:dyDescent="0.4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</row>
    <row r="1726" spans="1:18" ht="18" x14ac:dyDescent="0.4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</row>
    <row r="1727" spans="1:18" ht="18" x14ac:dyDescent="0.4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</row>
    <row r="1728" spans="1:18" ht="18" x14ac:dyDescent="0.4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</row>
    <row r="1729" spans="1:18" ht="18" x14ac:dyDescent="0.4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</row>
    <row r="1730" spans="1:18" ht="18" x14ac:dyDescent="0.4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</row>
    <row r="1731" spans="1:18" ht="18" x14ac:dyDescent="0.4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</row>
    <row r="1732" spans="1:18" ht="18" x14ac:dyDescent="0.4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</row>
    <row r="1733" spans="1:18" ht="18" x14ac:dyDescent="0.4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</row>
    <row r="1734" spans="1:18" ht="18" x14ac:dyDescent="0.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</row>
    <row r="1735" spans="1:18" ht="18" x14ac:dyDescent="0.4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</row>
    <row r="1736" spans="1:18" ht="18" x14ac:dyDescent="0.4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</row>
    <row r="1737" spans="1:18" ht="18" x14ac:dyDescent="0.4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</row>
    <row r="1738" spans="1:18" ht="18" x14ac:dyDescent="0.4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</row>
    <row r="1739" spans="1:18" ht="18" x14ac:dyDescent="0.4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</row>
    <row r="1740" spans="1:18" ht="18" x14ac:dyDescent="0.4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</row>
    <row r="1741" spans="1:18" ht="18" x14ac:dyDescent="0.4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</row>
    <row r="1742" spans="1:18" ht="18" x14ac:dyDescent="0.4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</row>
    <row r="1743" spans="1:18" ht="18" x14ac:dyDescent="0.4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</row>
    <row r="1744" spans="1:18" ht="18" x14ac:dyDescent="0.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</row>
    <row r="1745" spans="1:18" ht="18" x14ac:dyDescent="0.4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</row>
    <row r="1746" spans="1:18" ht="18" x14ac:dyDescent="0.4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</row>
    <row r="1747" spans="1:18" ht="18" x14ac:dyDescent="0.4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</row>
    <row r="1748" spans="1:18" ht="18" x14ac:dyDescent="0.4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</row>
    <row r="1749" spans="1:18" ht="18" x14ac:dyDescent="0.4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</row>
    <row r="1750" spans="1:18" ht="18" x14ac:dyDescent="0.4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</row>
    <row r="1751" spans="1:18" ht="18" x14ac:dyDescent="0.4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</row>
    <row r="1752" spans="1:18" ht="18" x14ac:dyDescent="0.4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</row>
    <row r="1753" spans="1:18" ht="18" x14ac:dyDescent="0.4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</row>
    <row r="1754" spans="1:18" ht="18" x14ac:dyDescent="0.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</row>
    <row r="1755" spans="1:18" ht="18" x14ac:dyDescent="0.4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</row>
    <row r="1756" spans="1:18" ht="18" x14ac:dyDescent="0.4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</row>
    <row r="1757" spans="1:18" ht="18" x14ac:dyDescent="0.4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</row>
    <row r="1758" spans="1:18" ht="18" x14ac:dyDescent="0.4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</row>
    <row r="1759" spans="1:18" ht="18" x14ac:dyDescent="0.4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</row>
    <row r="1760" spans="1:18" ht="18" x14ac:dyDescent="0.4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</row>
    <row r="1761" spans="1:18" ht="18" x14ac:dyDescent="0.4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</row>
    <row r="1762" spans="1:18" ht="18" x14ac:dyDescent="0.4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</row>
    <row r="1763" spans="1:18" ht="18" x14ac:dyDescent="0.4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</row>
    <row r="1764" spans="1:18" ht="18" x14ac:dyDescent="0.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</row>
    <row r="1765" spans="1:18" ht="18" x14ac:dyDescent="0.4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</row>
    <row r="1766" spans="1:18" ht="18" x14ac:dyDescent="0.4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</row>
    <row r="1767" spans="1:18" ht="18" x14ac:dyDescent="0.4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</row>
    <row r="1768" spans="1:18" ht="18" x14ac:dyDescent="0.4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</row>
    <row r="1769" spans="1:18" ht="18" x14ac:dyDescent="0.4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</row>
    <row r="1770" spans="1:18" ht="18" x14ac:dyDescent="0.4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</row>
    <row r="1771" spans="1:18" ht="18" x14ac:dyDescent="0.4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</row>
    <row r="1772" spans="1:18" ht="18" x14ac:dyDescent="0.4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</row>
    <row r="1773" spans="1:18" ht="18" x14ac:dyDescent="0.4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</row>
    <row r="1774" spans="1:18" ht="18" x14ac:dyDescent="0.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</row>
    <row r="1775" spans="1:18" ht="18" x14ac:dyDescent="0.4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</row>
    <row r="1776" spans="1:18" ht="18" x14ac:dyDescent="0.4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</row>
    <row r="1777" spans="1:18" ht="18" x14ac:dyDescent="0.4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</row>
    <row r="1778" spans="1:18" ht="18" x14ac:dyDescent="0.4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</row>
    <row r="1779" spans="1:18" ht="18" x14ac:dyDescent="0.4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</row>
    <row r="1780" spans="1:18" ht="18" x14ac:dyDescent="0.4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</row>
    <row r="1781" spans="1:18" ht="18" x14ac:dyDescent="0.4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</row>
    <row r="1782" spans="1:18" ht="18" x14ac:dyDescent="0.4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</row>
    <row r="1783" spans="1:18" ht="18" x14ac:dyDescent="0.4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</row>
    <row r="1784" spans="1:18" ht="18" x14ac:dyDescent="0.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</row>
    <row r="1785" spans="1:18" ht="18" x14ac:dyDescent="0.4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</row>
    <row r="1786" spans="1:18" ht="18" x14ac:dyDescent="0.4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</row>
    <row r="1787" spans="1:18" ht="18" x14ac:dyDescent="0.4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</row>
    <row r="1788" spans="1:18" ht="18" x14ac:dyDescent="0.4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</row>
    <row r="1789" spans="1:18" ht="18" x14ac:dyDescent="0.4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</row>
    <row r="1790" spans="1:18" ht="18" x14ac:dyDescent="0.4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</row>
    <row r="1791" spans="1:18" ht="18" x14ac:dyDescent="0.4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</row>
    <row r="1792" spans="1:18" ht="18" x14ac:dyDescent="0.4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</row>
    <row r="1793" spans="1:18" ht="18" x14ac:dyDescent="0.4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</row>
    <row r="1794" spans="1:18" ht="18" x14ac:dyDescent="0.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</row>
    <row r="1795" spans="1:18" ht="18" x14ac:dyDescent="0.4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</row>
    <row r="1796" spans="1:18" ht="18" x14ac:dyDescent="0.4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</row>
    <row r="1797" spans="1:18" ht="18" x14ac:dyDescent="0.4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</row>
    <row r="1798" spans="1:18" ht="18" x14ac:dyDescent="0.4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</row>
    <row r="1799" spans="1:18" ht="18" x14ac:dyDescent="0.4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</row>
    <row r="1800" spans="1:18" ht="18" x14ac:dyDescent="0.4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</row>
    <row r="1801" spans="1:18" ht="18" x14ac:dyDescent="0.4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</row>
    <row r="1802" spans="1:18" ht="18" x14ac:dyDescent="0.4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</row>
    <row r="1803" spans="1:18" ht="18" x14ac:dyDescent="0.4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</row>
    <row r="1804" spans="1:18" ht="18" x14ac:dyDescent="0.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</row>
    <row r="1805" spans="1:18" ht="18" x14ac:dyDescent="0.4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</row>
    <row r="1806" spans="1:18" ht="18" x14ac:dyDescent="0.4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</row>
    <row r="1807" spans="1:18" ht="18" x14ac:dyDescent="0.4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</row>
    <row r="1808" spans="1:18" ht="18" x14ac:dyDescent="0.4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</row>
    <row r="1809" spans="1:18" ht="18" x14ac:dyDescent="0.4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</row>
    <row r="1810" spans="1:18" ht="18" x14ac:dyDescent="0.4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</row>
    <row r="1811" spans="1:18" ht="18" x14ac:dyDescent="0.4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</row>
    <row r="1812" spans="1:18" ht="18" x14ac:dyDescent="0.4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</row>
    <row r="1813" spans="1:18" ht="18" x14ac:dyDescent="0.4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</row>
    <row r="1814" spans="1:18" ht="18" x14ac:dyDescent="0.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</row>
    <row r="1815" spans="1:18" ht="18" x14ac:dyDescent="0.4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</row>
    <row r="1816" spans="1:18" ht="18" x14ac:dyDescent="0.4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</row>
    <row r="1817" spans="1:18" ht="18" x14ac:dyDescent="0.4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</row>
    <row r="1818" spans="1:18" ht="18" x14ac:dyDescent="0.4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</row>
    <row r="1819" spans="1:18" ht="18" x14ac:dyDescent="0.4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</row>
    <row r="1820" spans="1:18" ht="18" x14ac:dyDescent="0.4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</row>
    <row r="1821" spans="1:18" ht="18" x14ac:dyDescent="0.4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</row>
    <row r="1822" spans="1:18" ht="18" x14ac:dyDescent="0.4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</row>
    <row r="1823" spans="1:18" ht="18" x14ac:dyDescent="0.4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</row>
    <row r="1824" spans="1:18" ht="18" x14ac:dyDescent="0.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</row>
    <row r="1825" spans="1:18" ht="18" x14ac:dyDescent="0.4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</row>
    <row r="1826" spans="1:18" ht="18" x14ac:dyDescent="0.4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</row>
    <row r="1827" spans="1:18" ht="18" x14ac:dyDescent="0.4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</row>
  </sheetData>
  <mergeCells count="10">
    <mergeCell ref="A35:D35"/>
    <mergeCell ref="A36:D36"/>
    <mergeCell ref="A37:D37"/>
    <mergeCell ref="A38:D38"/>
    <mergeCell ref="A39:D39"/>
    <mergeCell ref="A40:D40"/>
    <mergeCell ref="A1:D1"/>
    <mergeCell ref="A2:D2"/>
    <mergeCell ref="A3:D3"/>
    <mergeCell ref="A34:D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B297-CC83-46EA-8C2E-018DE1C00977}">
  <dimension ref="A1:AQ1754"/>
  <sheetViews>
    <sheetView topLeftCell="A71" workbookViewId="0">
      <selection sqref="A1:F93"/>
    </sheetView>
  </sheetViews>
  <sheetFormatPr defaultRowHeight="14.5" x14ac:dyDescent="0.35"/>
  <cols>
    <col min="1" max="1" width="12.7265625" customWidth="1"/>
    <col min="2" max="2" width="61.08984375" customWidth="1"/>
    <col min="3" max="3" width="5" customWidth="1"/>
    <col min="5" max="5" width="13.08984375" customWidth="1"/>
    <col min="6" max="6" width="12.81640625" customWidth="1"/>
  </cols>
  <sheetData>
    <row r="1" spans="1:43" ht="18" x14ac:dyDescent="0.4">
      <c r="A1" s="90" t="s">
        <v>33</v>
      </c>
      <c r="B1" s="90"/>
      <c r="C1" s="90"/>
      <c r="D1" s="90"/>
      <c r="E1" s="90"/>
      <c r="F1" s="9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18.5" thickBot="1" x14ac:dyDescent="0.45">
      <c r="A3" s="14" t="s">
        <v>34</v>
      </c>
      <c r="B3" s="15" t="s">
        <v>35</v>
      </c>
      <c r="C3" s="15"/>
      <c r="D3" s="15" t="s">
        <v>36</v>
      </c>
      <c r="E3" s="15" t="s">
        <v>37</v>
      </c>
      <c r="F3" s="16" t="s">
        <v>38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8" x14ac:dyDescent="0.4">
      <c r="A4" s="19" t="s">
        <v>39</v>
      </c>
      <c r="B4" s="20" t="s">
        <v>44</v>
      </c>
      <c r="C4" s="20" t="s">
        <v>41</v>
      </c>
      <c r="D4" s="20"/>
      <c r="E4" s="21">
        <v>1000000</v>
      </c>
      <c r="F4" s="2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8" x14ac:dyDescent="0.4">
      <c r="A5" s="23"/>
      <c r="B5" s="17" t="s">
        <v>42</v>
      </c>
      <c r="C5" s="17"/>
      <c r="D5" s="17"/>
      <c r="E5" s="17"/>
      <c r="F5" s="24">
        <v>1000000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18" x14ac:dyDescent="0.4">
      <c r="A6" s="23"/>
      <c r="B6" s="17" t="s">
        <v>43</v>
      </c>
      <c r="C6" s="17"/>
      <c r="D6" s="17"/>
      <c r="E6" s="17"/>
      <c r="F6" s="2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ht="18" x14ac:dyDescent="0.4">
      <c r="A7" s="23" t="s">
        <v>45</v>
      </c>
      <c r="B7" s="17" t="s">
        <v>46</v>
      </c>
      <c r="C7" s="17" t="s">
        <v>41</v>
      </c>
      <c r="D7" s="17"/>
      <c r="E7" s="18">
        <v>80000</v>
      </c>
      <c r="F7" s="2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18" x14ac:dyDescent="0.4">
      <c r="A8" s="23"/>
      <c r="B8" s="17" t="s">
        <v>47</v>
      </c>
      <c r="C8" s="17"/>
      <c r="D8" s="17"/>
      <c r="E8" s="17"/>
      <c r="F8" s="24">
        <v>80000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ht="18" x14ac:dyDescent="0.4">
      <c r="A9" s="23"/>
      <c r="B9" s="17" t="s">
        <v>48</v>
      </c>
      <c r="C9" s="17"/>
      <c r="D9" s="17"/>
      <c r="E9" s="17"/>
      <c r="F9" s="2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ht="18" x14ac:dyDescent="0.4">
      <c r="A10" s="23" t="s">
        <v>49</v>
      </c>
      <c r="B10" s="17" t="s">
        <v>50</v>
      </c>
      <c r="C10" s="17" t="s">
        <v>41</v>
      </c>
      <c r="D10" s="17"/>
      <c r="E10" s="18">
        <v>250000</v>
      </c>
      <c r="F10" s="2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18" x14ac:dyDescent="0.4">
      <c r="A11" s="23"/>
      <c r="B11" s="17" t="s">
        <v>51</v>
      </c>
      <c r="C11" s="17"/>
      <c r="D11" s="17"/>
      <c r="E11" s="17"/>
      <c r="F11" s="24">
        <v>250000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18" x14ac:dyDescent="0.4">
      <c r="A12" s="23"/>
      <c r="B12" s="17" t="s">
        <v>52</v>
      </c>
      <c r="C12" s="17"/>
      <c r="D12" s="17"/>
      <c r="E12" s="17"/>
      <c r="F12" s="2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ht="18" x14ac:dyDescent="0.4">
      <c r="A13" s="23" t="s">
        <v>53</v>
      </c>
      <c r="B13" s="17" t="s">
        <v>291</v>
      </c>
      <c r="C13" s="17" t="s">
        <v>41</v>
      </c>
      <c r="D13" s="17"/>
      <c r="E13" s="18">
        <v>120000</v>
      </c>
      <c r="F13" s="2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ht="18" x14ac:dyDescent="0.4">
      <c r="A14" s="23"/>
      <c r="B14" s="17" t="s">
        <v>55</v>
      </c>
      <c r="C14" s="17"/>
      <c r="D14" s="17"/>
      <c r="E14" s="17"/>
      <c r="F14" s="24">
        <v>120000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ht="18" x14ac:dyDescent="0.4">
      <c r="A15" s="23"/>
      <c r="B15" s="17" t="s">
        <v>56</v>
      </c>
      <c r="C15" s="17"/>
      <c r="D15" s="17"/>
      <c r="E15" s="17"/>
      <c r="F15" s="2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ht="18" x14ac:dyDescent="0.4">
      <c r="A16" s="23" t="s">
        <v>57</v>
      </c>
      <c r="B16" s="17" t="s">
        <v>291</v>
      </c>
      <c r="C16" s="17" t="s">
        <v>41</v>
      </c>
      <c r="D16" s="17"/>
      <c r="E16" s="18">
        <v>60000</v>
      </c>
      <c r="F16" s="2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ht="18" x14ac:dyDescent="0.4">
      <c r="A17" s="23"/>
      <c r="B17" s="17" t="s">
        <v>47</v>
      </c>
      <c r="C17" s="17"/>
      <c r="D17" s="17"/>
      <c r="E17" s="17"/>
      <c r="F17" s="24">
        <v>60000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ht="18" x14ac:dyDescent="0.4">
      <c r="A18" s="23"/>
      <c r="B18" s="17" t="s">
        <v>58</v>
      </c>
      <c r="C18" s="17"/>
      <c r="D18" s="17"/>
      <c r="E18" s="17"/>
      <c r="F18" s="2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18" x14ac:dyDescent="0.4">
      <c r="A19" s="23" t="s">
        <v>59</v>
      </c>
      <c r="B19" s="17" t="s">
        <v>60</v>
      </c>
      <c r="C19" s="17" t="s">
        <v>41</v>
      </c>
      <c r="D19" s="17"/>
      <c r="E19" s="18">
        <v>5000</v>
      </c>
      <c r="F19" s="2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8" x14ac:dyDescent="0.4">
      <c r="A20" s="23"/>
      <c r="B20" s="17" t="s">
        <v>47</v>
      </c>
      <c r="C20" s="17"/>
      <c r="D20" s="17"/>
      <c r="E20" s="17"/>
      <c r="F20" s="24">
        <v>5000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8" x14ac:dyDescent="0.4">
      <c r="A21" s="23"/>
      <c r="B21" s="17" t="s">
        <v>61</v>
      </c>
      <c r="C21" s="17"/>
      <c r="D21" s="17"/>
      <c r="E21" s="17"/>
      <c r="F21" s="2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8" x14ac:dyDescent="0.4">
      <c r="A22" s="23" t="s">
        <v>62</v>
      </c>
      <c r="B22" s="17" t="s">
        <v>40</v>
      </c>
      <c r="C22" s="17" t="s">
        <v>41</v>
      </c>
      <c r="D22" s="17"/>
      <c r="E22" s="18">
        <v>90000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18" x14ac:dyDescent="0.4">
      <c r="A23" s="23"/>
      <c r="B23" s="17" t="s">
        <v>63</v>
      </c>
      <c r="C23" s="17"/>
      <c r="D23" s="17"/>
      <c r="E23" s="17"/>
      <c r="F23" s="24">
        <v>90000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ht="18" x14ac:dyDescent="0.4">
      <c r="A24" s="23"/>
      <c r="B24" s="17" t="s">
        <v>64</v>
      </c>
      <c r="C24" s="17"/>
      <c r="D24" s="17"/>
      <c r="E24" s="17"/>
      <c r="F24" s="2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ht="18" x14ac:dyDescent="0.4">
      <c r="A25" s="23" t="s">
        <v>66</v>
      </c>
      <c r="B25" s="17" t="s">
        <v>67</v>
      </c>
      <c r="C25" s="17" t="s">
        <v>41</v>
      </c>
      <c r="D25" s="17"/>
      <c r="E25" s="18">
        <v>150000</v>
      </c>
      <c r="F25" s="2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ht="18" x14ac:dyDescent="0.4">
      <c r="A26" s="23"/>
      <c r="B26" s="17" t="s">
        <v>63</v>
      </c>
      <c r="C26" s="17"/>
      <c r="D26" s="17"/>
      <c r="E26" s="17"/>
      <c r="F26" s="24">
        <v>150000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ht="18" x14ac:dyDescent="0.4">
      <c r="A27" s="23"/>
      <c r="B27" s="17" t="s">
        <v>65</v>
      </c>
      <c r="C27" s="17"/>
      <c r="D27" s="17"/>
      <c r="E27" s="17"/>
      <c r="F27" s="2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ht="18" x14ac:dyDescent="0.4">
      <c r="A28" s="23" t="s">
        <v>68</v>
      </c>
      <c r="B28" s="17" t="s">
        <v>69</v>
      </c>
      <c r="C28" s="17" t="s">
        <v>41</v>
      </c>
      <c r="D28" s="17"/>
      <c r="E28" s="18">
        <v>10000</v>
      </c>
      <c r="F28" s="2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ht="18" x14ac:dyDescent="0.4">
      <c r="A29" s="23"/>
      <c r="B29" s="17" t="s">
        <v>292</v>
      </c>
      <c r="C29" s="17"/>
      <c r="D29" s="17"/>
      <c r="E29" s="17"/>
      <c r="F29" s="24">
        <v>10000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8" x14ac:dyDescent="0.4">
      <c r="A30" s="23"/>
      <c r="B30" s="17" t="s">
        <v>70</v>
      </c>
      <c r="C30" s="17"/>
      <c r="D30" s="17"/>
      <c r="E30" s="17"/>
      <c r="F30" s="2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8" x14ac:dyDescent="0.4">
      <c r="A31" s="23" t="s">
        <v>71</v>
      </c>
      <c r="B31" s="17" t="s">
        <v>72</v>
      </c>
      <c r="C31" s="17" t="s">
        <v>41</v>
      </c>
      <c r="D31" s="17"/>
      <c r="E31" s="18">
        <v>15000</v>
      </c>
      <c r="F31" s="2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ht="18" x14ac:dyDescent="0.4">
      <c r="A32" s="23"/>
      <c r="B32" s="17" t="s">
        <v>73</v>
      </c>
      <c r="C32" s="17"/>
      <c r="D32" s="17"/>
      <c r="E32" s="17"/>
      <c r="F32" s="24">
        <v>15000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ht="18" x14ac:dyDescent="0.4">
      <c r="A33" s="23"/>
      <c r="B33" s="17" t="s">
        <v>74</v>
      </c>
      <c r="C33" s="17"/>
      <c r="D33" s="17"/>
      <c r="E33" s="17"/>
      <c r="F33" s="2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8" x14ac:dyDescent="0.4">
      <c r="A34" s="23" t="s">
        <v>75</v>
      </c>
      <c r="B34" s="17" t="s">
        <v>76</v>
      </c>
      <c r="C34" s="17" t="s">
        <v>41</v>
      </c>
      <c r="D34" s="17"/>
      <c r="E34" s="18">
        <v>30000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ht="18" x14ac:dyDescent="0.4">
      <c r="A35" s="23"/>
      <c r="B35" s="17" t="s">
        <v>47</v>
      </c>
      <c r="C35" s="17"/>
      <c r="D35" s="17"/>
      <c r="E35" s="17"/>
      <c r="F35" s="24">
        <v>30000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ht="18" x14ac:dyDescent="0.4">
      <c r="A36" s="23"/>
      <c r="B36" s="17" t="s">
        <v>77</v>
      </c>
      <c r="C36" s="17"/>
      <c r="D36" s="17"/>
      <c r="E36" s="17"/>
      <c r="F36" s="2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ht="18" x14ac:dyDescent="0.4">
      <c r="A37" s="23" t="s">
        <v>78</v>
      </c>
      <c r="B37" s="17" t="s">
        <v>79</v>
      </c>
      <c r="C37" s="17" t="s">
        <v>41</v>
      </c>
      <c r="D37" s="17"/>
      <c r="E37" s="18">
        <v>24000</v>
      </c>
      <c r="F37" s="2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ht="18" x14ac:dyDescent="0.4">
      <c r="A38" s="23"/>
      <c r="B38" s="17" t="s">
        <v>51</v>
      </c>
      <c r="C38" s="17"/>
      <c r="D38" s="17"/>
      <c r="E38" s="17"/>
      <c r="F38" s="24">
        <v>24000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8" x14ac:dyDescent="0.4">
      <c r="A39" s="23"/>
      <c r="B39" s="17" t="s">
        <v>80</v>
      </c>
      <c r="C39" s="17"/>
      <c r="D39" s="17"/>
      <c r="E39" s="17"/>
      <c r="F39" s="2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ht="18" x14ac:dyDescent="0.4">
      <c r="A40" s="23" t="s">
        <v>82</v>
      </c>
      <c r="B40" s="17" t="s">
        <v>40</v>
      </c>
      <c r="C40" s="17" t="s">
        <v>41</v>
      </c>
      <c r="D40" s="17"/>
      <c r="E40" s="18">
        <v>130000</v>
      </c>
      <c r="F40" s="2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ht="18" x14ac:dyDescent="0.4">
      <c r="A41" s="23"/>
      <c r="B41" s="17" t="s">
        <v>73</v>
      </c>
      <c r="C41" s="17"/>
      <c r="D41" s="17"/>
      <c r="E41" s="17"/>
      <c r="F41" s="24">
        <v>130000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ht="18" x14ac:dyDescent="0.4">
      <c r="A42" s="23"/>
      <c r="B42" s="17" t="s">
        <v>81</v>
      </c>
      <c r="C42" s="17"/>
      <c r="D42" s="17"/>
      <c r="E42" s="17"/>
      <c r="F42" s="2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ht="18" x14ac:dyDescent="0.4">
      <c r="A43" s="23" t="s">
        <v>82</v>
      </c>
      <c r="B43" s="17" t="s">
        <v>83</v>
      </c>
      <c r="C43" s="17" t="s">
        <v>41</v>
      </c>
      <c r="D43" s="17"/>
      <c r="E43" s="18">
        <v>5000</v>
      </c>
      <c r="F43" s="2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ht="18" x14ac:dyDescent="0.4">
      <c r="A44" s="23"/>
      <c r="B44" s="17" t="s">
        <v>73</v>
      </c>
      <c r="C44" s="17"/>
      <c r="D44" s="17"/>
      <c r="E44" s="17"/>
      <c r="F44" s="24">
        <v>5000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ht="18" x14ac:dyDescent="0.4">
      <c r="A45" s="23"/>
      <c r="B45" s="17" t="s">
        <v>84</v>
      </c>
      <c r="C45" s="17"/>
      <c r="D45" s="17"/>
      <c r="E45" s="17"/>
      <c r="F45" s="2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ht="18" x14ac:dyDescent="0.4">
      <c r="A46" s="23" t="s">
        <v>85</v>
      </c>
      <c r="B46" s="17" t="s">
        <v>69</v>
      </c>
      <c r="C46" s="17" t="s">
        <v>41</v>
      </c>
      <c r="D46" s="17"/>
      <c r="E46" s="18">
        <v>108000</v>
      </c>
      <c r="F46" s="2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ht="18" x14ac:dyDescent="0.4">
      <c r="A47" s="23"/>
      <c r="B47" s="17" t="s">
        <v>51</v>
      </c>
      <c r="C47" s="17"/>
      <c r="D47" s="17"/>
      <c r="E47" s="17"/>
      <c r="F47" s="24">
        <v>108000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ht="18" x14ac:dyDescent="0.4">
      <c r="A48" s="23"/>
      <c r="B48" s="17" t="s">
        <v>86</v>
      </c>
      <c r="C48" s="17"/>
      <c r="D48" s="17"/>
      <c r="E48" s="17"/>
      <c r="F48" s="2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ht="18" x14ac:dyDescent="0.4">
      <c r="A49" s="23" t="s">
        <v>85</v>
      </c>
      <c r="B49" s="17" t="s">
        <v>69</v>
      </c>
      <c r="C49" s="17" t="s">
        <v>41</v>
      </c>
      <c r="D49" s="17"/>
      <c r="E49" s="18">
        <v>2000</v>
      </c>
      <c r="F49" s="2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ht="18" x14ac:dyDescent="0.4">
      <c r="A50" s="23"/>
      <c r="B50" s="17" t="s">
        <v>87</v>
      </c>
      <c r="C50" s="17"/>
      <c r="D50" s="17"/>
      <c r="E50" s="17"/>
      <c r="F50" s="24">
        <v>2000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ht="18" x14ac:dyDescent="0.4">
      <c r="A51" s="23"/>
      <c r="B51" s="17" t="s">
        <v>88</v>
      </c>
      <c r="C51" s="17"/>
      <c r="D51" s="17"/>
      <c r="E51" s="17"/>
      <c r="F51" s="2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ht="18" x14ac:dyDescent="0.4">
      <c r="A52" s="23" t="s">
        <v>89</v>
      </c>
      <c r="B52" s="17" t="s">
        <v>90</v>
      </c>
      <c r="C52" s="17" t="s">
        <v>41</v>
      </c>
      <c r="D52" s="17"/>
      <c r="E52" s="18">
        <v>50000</v>
      </c>
      <c r="F52" s="2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ht="18" x14ac:dyDescent="0.4">
      <c r="A53" s="23"/>
      <c r="B53" s="17" t="s">
        <v>47</v>
      </c>
      <c r="C53" s="17"/>
      <c r="D53" s="17"/>
      <c r="E53" s="17"/>
      <c r="F53" s="24">
        <v>50000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ht="18" x14ac:dyDescent="0.4">
      <c r="A54" s="23"/>
      <c r="B54" s="17" t="s">
        <v>91</v>
      </c>
      <c r="C54" s="17"/>
      <c r="D54" s="17"/>
      <c r="E54" s="17"/>
      <c r="F54" s="2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ht="18" x14ac:dyDescent="0.4">
      <c r="A55" s="23" t="s">
        <v>92</v>
      </c>
      <c r="B55" s="17" t="s">
        <v>93</v>
      </c>
      <c r="C55" s="17" t="s">
        <v>41</v>
      </c>
      <c r="D55" s="17"/>
      <c r="E55" s="18">
        <v>12000</v>
      </c>
      <c r="F55" s="2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ht="18" x14ac:dyDescent="0.4">
      <c r="A56" s="23"/>
      <c r="B56" s="17" t="s">
        <v>47</v>
      </c>
      <c r="C56" s="17"/>
      <c r="D56" s="17"/>
      <c r="E56" s="17"/>
      <c r="F56" s="24">
        <v>12000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ht="18" x14ac:dyDescent="0.4">
      <c r="A57" s="23"/>
      <c r="B57" s="17" t="s">
        <v>94</v>
      </c>
      <c r="C57" s="17"/>
      <c r="D57" s="17"/>
      <c r="E57" s="17"/>
      <c r="F57" s="2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ht="18" x14ac:dyDescent="0.4">
      <c r="A58" s="23" t="s">
        <v>95</v>
      </c>
      <c r="B58" s="17" t="s">
        <v>40</v>
      </c>
      <c r="C58" s="17" t="s">
        <v>41</v>
      </c>
      <c r="D58" s="17"/>
      <c r="E58" s="18">
        <v>8000</v>
      </c>
      <c r="F58" s="2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ht="18" x14ac:dyDescent="0.4">
      <c r="A59" s="23"/>
      <c r="B59" s="17" t="s">
        <v>96</v>
      </c>
      <c r="C59" s="17"/>
      <c r="D59" s="17"/>
      <c r="E59" s="17"/>
      <c r="F59" s="24">
        <v>8000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ht="18" x14ac:dyDescent="0.4">
      <c r="A60" s="23"/>
      <c r="B60" s="17" t="s">
        <v>97</v>
      </c>
      <c r="C60" s="17"/>
      <c r="D60" s="17"/>
      <c r="E60" s="17"/>
      <c r="F60" s="2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ht="18" x14ac:dyDescent="0.4">
      <c r="A61" s="23" t="s">
        <v>98</v>
      </c>
      <c r="B61" s="17" t="s">
        <v>99</v>
      </c>
      <c r="C61" s="17" t="s">
        <v>41</v>
      </c>
      <c r="D61" s="17"/>
      <c r="E61" s="18">
        <v>9000</v>
      </c>
      <c r="F61" s="2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ht="18" x14ac:dyDescent="0.4">
      <c r="A62" s="23"/>
      <c r="B62" s="17" t="s">
        <v>47</v>
      </c>
      <c r="C62" s="17"/>
      <c r="D62" s="17"/>
      <c r="E62" s="17"/>
      <c r="F62" s="24">
        <v>9000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ht="18" x14ac:dyDescent="0.4">
      <c r="A63" s="23"/>
      <c r="B63" s="17" t="s">
        <v>100</v>
      </c>
      <c r="C63" s="17"/>
      <c r="D63" s="17"/>
      <c r="E63" s="17"/>
      <c r="F63" s="2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ht="18" x14ac:dyDescent="0.4">
      <c r="A64" s="23" t="s">
        <v>101</v>
      </c>
      <c r="B64" s="17" t="s">
        <v>291</v>
      </c>
      <c r="C64" s="17" t="s">
        <v>41</v>
      </c>
      <c r="D64" s="17"/>
      <c r="E64" s="18">
        <v>80000</v>
      </c>
      <c r="F64" s="2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ht="18" x14ac:dyDescent="0.4">
      <c r="A65" s="23"/>
      <c r="B65" s="17" t="s">
        <v>290</v>
      </c>
      <c r="C65" s="17"/>
      <c r="D65" s="17"/>
      <c r="E65" s="17"/>
      <c r="F65" s="25">
        <v>80000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ht="18" x14ac:dyDescent="0.4">
      <c r="A66" s="23"/>
      <c r="B66" s="17" t="s">
        <v>102</v>
      </c>
      <c r="C66" s="17"/>
      <c r="D66" s="17"/>
      <c r="E66" s="17"/>
      <c r="F66" s="2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ht="18" x14ac:dyDescent="0.4">
      <c r="A67" s="23" t="s">
        <v>104</v>
      </c>
      <c r="B67" s="17" t="s">
        <v>105</v>
      </c>
      <c r="C67" s="17" t="s">
        <v>41</v>
      </c>
      <c r="D67" s="17"/>
      <c r="E67" s="18">
        <v>110000</v>
      </c>
      <c r="F67" s="2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ht="18" x14ac:dyDescent="0.4">
      <c r="A68" s="23"/>
      <c r="B68" s="17" t="s">
        <v>63</v>
      </c>
      <c r="C68" s="17"/>
      <c r="D68" s="17"/>
      <c r="E68" s="17"/>
      <c r="F68" s="24">
        <v>110000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ht="18" x14ac:dyDescent="0.4">
      <c r="A69" s="23"/>
      <c r="B69" s="17" t="s">
        <v>103</v>
      </c>
      <c r="C69" s="17"/>
      <c r="D69" s="17"/>
      <c r="E69" s="17"/>
      <c r="F69" s="2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ht="18" x14ac:dyDescent="0.4">
      <c r="A70" s="23" t="s">
        <v>110</v>
      </c>
      <c r="B70" s="17" t="s">
        <v>40</v>
      </c>
      <c r="C70" s="17" t="s">
        <v>41</v>
      </c>
      <c r="D70" s="17"/>
      <c r="E70" s="18">
        <v>105000</v>
      </c>
      <c r="F70" s="2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ht="18" x14ac:dyDescent="0.4">
      <c r="A71" s="23"/>
      <c r="B71" s="17" t="s">
        <v>107</v>
      </c>
      <c r="C71" s="17"/>
      <c r="D71" s="17"/>
      <c r="E71" s="17"/>
      <c r="F71" s="24">
        <v>105000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ht="18" x14ac:dyDescent="0.4">
      <c r="A72" s="23"/>
      <c r="B72" s="17" t="s">
        <v>106</v>
      </c>
      <c r="C72" s="17"/>
      <c r="D72" s="17"/>
      <c r="E72" s="17"/>
      <c r="F72" s="2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ht="18" x14ac:dyDescent="0.4">
      <c r="A73" s="23" t="s">
        <v>110</v>
      </c>
      <c r="B73" s="17" t="s">
        <v>83</v>
      </c>
      <c r="C73" s="17" t="s">
        <v>41</v>
      </c>
      <c r="D73" s="17"/>
      <c r="E73" s="18">
        <v>5000</v>
      </c>
      <c r="F73" s="2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ht="18" x14ac:dyDescent="0.4">
      <c r="A74" s="23"/>
      <c r="B74" s="17" t="s">
        <v>107</v>
      </c>
      <c r="C74" s="17"/>
      <c r="D74" s="17"/>
      <c r="E74" s="17"/>
      <c r="F74" s="24">
        <v>5000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ht="18" x14ac:dyDescent="0.4">
      <c r="A75" s="23"/>
      <c r="B75" s="17" t="s">
        <v>108</v>
      </c>
      <c r="C75" s="17"/>
      <c r="D75" s="17"/>
      <c r="E75" s="17"/>
      <c r="F75" s="2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ht="18" x14ac:dyDescent="0.4">
      <c r="A76" s="23" t="s">
        <v>109</v>
      </c>
      <c r="B76" s="17" t="s">
        <v>111</v>
      </c>
      <c r="C76" s="17" t="s">
        <v>41</v>
      </c>
      <c r="D76" s="17"/>
      <c r="E76" s="18">
        <v>20000</v>
      </c>
      <c r="F76" s="2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ht="18" x14ac:dyDescent="0.4">
      <c r="A77" s="23"/>
      <c r="B77" s="17" t="s">
        <v>47</v>
      </c>
      <c r="C77" s="17"/>
      <c r="D77" s="17"/>
      <c r="E77" s="17"/>
      <c r="F77" s="24">
        <v>20000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ht="18" x14ac:dyDescent="0.4">
      <c r="A78" s="23"/>
      <c r="B78" s="17" t="s">
        <v>112</v>
      </c>
      <c r="C78" s="17"/>
      <c r="D78" s="17"/>
      <c r="E78" s="17"/>
      <c r="F78" s="2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ht="18" x14ac:dyDescent="0.4">
      <c r="A79" s="23" t="s">
        <v>113</v>
      </c>
      <c r="B79" s="17" t="s">
        <v>114</v>
      </c>
      <c r="C79" s="17" t="s">
        <v>41</v>
      </c>
      <c r="D79" s="17"/>
      <c r="E79" s="18">
        <v>15000</v>
      </c>
      <c r="F79" s="2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ht="18" x14ac:dyDescent="0.4">
      <c r="A80" s="23"/>
      <c r="B80" s="17" t="s">
        <v>47</v>
      </c>
      <c r="C80" s="17"/>
      <c r="D80" s="17"/>
      <c r="E80" s="17"/>
      <c r="F80" s="24">
        <v>15000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ht="18" x14ac:dyDescent="0.4">
      <c r="A81" s="23"/>
      <c r="B81" s="17" t="s">
        <v>115</v>
      </c>
      <c r="C81" s="17"/>
      <c r="D81" s="17"/>
      <c r="E81" s="17"/>
      <c r="F81" s="2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ht="18" x14ac:dyDescent="0.4">
      <c r="A82" s="23" t="s">
        <v>116</v>
      </c>
      <c r="B82" s="17" t="s">
        <v>40</v>
      </c>
      <c r="C82" s="17" t="s">
        <v>41</v>
      </c>
      <c r="D82" s="17"/>
      <c r="E82" s="18">
        <v>6000</v>
      </c>
      <c r="F82" s="2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ht="18" x14ac:dyDescent="0.4">
      <c r="A83" s="23"/>
      <c r="B83" s="17" t="s">
        <v>117</v>
      </c>
      <c r="C83" s="17"/>
      <c r="D83" s="17"/>
      <c r="E83" s="17"/>
      <c r="F83" s="24">
        <v>6000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ht="18" x14ac:dyDescent="0.4">
      <c r="A84" s="23"/>
      <c r="B84" s="17" t="s">
        <v>118</v>
      </c>
      <c r="C84" s="17"/>
      <c r="D84" s="17"/>
      <c r="E84" s="17"/>
      <c r="F84" s="2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ht="18" x14ac:dyDescent="0.4">
      <c r="A85" s="23" t="s">
        <v>119</v>
      </c>
      <c r="B85" s="17" t="s">
        <v>289</v>
      </c>
      <c r="C85" s="17" t="s">
        <v>41</v>
      </c>
      <c r="D85" s="17"/>
      <c r="E85" s="18">
        <v>10000</v>
      </c>
      <c r="F85" s="2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ht="18" x14ac:dyDescent="0.4">
      <c r="A86" s="23"/>
      <c r="B86" s="17" t="s">
        <v>120</v>
      </c>
      <c r="C86" s="17"/>
      <c r="D86" s="17"/>
      <c r="E86" s="17"/>
      <c r="F86" s="24">
        <v>10000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ht="18" x14ac:dyDescent="0.4">
      <c r="A87" s="23"/>
      <c r="B87" s="17" t="s">
        <v>121</v>
      </c>
      <c r="C87" s="17"/>
      <c r="D87" s="17"/>
      <c r="E87" s="17"/>
      <c r="F87" s="2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ht="18" x14ac:dyDescent="0.4">
      <c r="A88" s="23" t="s">
        <v>122</v>
      </c>
      <c r="B88" s="17" t="s">
        <v>123</v>
      </c>
      <c r="C88" s="17" t="s">
        <v>41</v>
      </c>
      <c r="D88" s="17"/>
      <c r="E88" s="18">
        <v>4000</v>
      </c>
      <c r="F88" s="2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ht="18" x14ac:dyDescent="0.4">
      <c r="A89" s="23"/>
      <c r="B89" s="17" t="s">
        <v>47</v>
      </c>
      <c r="C89" s="17"/>
      <c r="D89" s="17"/>
      <c r="E89" s="17"/>
      <c r="F89" s="24">
        <v>4000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ht="18" x14ac:dyDescent="0.4">
      <c r="A90" s="23"/>
      <c r="B90" s="17" t="s">
        <v>124</v>
      </c>
      <c r="C90" s="17"/>
      <c r="D90" s="17"/>
      <c r="E90" s="17"/>
      <c r="F90" s="2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ht="18" x14ac:dyDescent="0.4">
      <c r="A91" s="23" t="s">
        <v>125</v>
      </c>
      <c r="B91" s="17" t="s">
        <v>126</v>
      </c>
      <c r="C91" s="17" t="s">
        <v>41</v>
      </c>
      <c r="D91" s="17"/>
      <c r="E91" s="18">
        <v>8000</v>
      </c>
      <c r="F91" s="2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ht="18" x14ac:dyDescent="0.4">
      <c r="A92" s="23"/>
      <c r="B92" s="17" t="s">
        <v>51</v>
      </c>
      <c r="C92" s="17"/>
      <c r="D92" s="17"/>
      <c r="E92" s="17"/>
      <c r="F92" s="24">
        <v>8000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ht="18.5" thickBot="1" x14ac:dyDescent="0.45">
      <c r="A93" s="26"/>
      <c r="B93" s="27" t="s">
        <v>127</v>
      </c>
      <c r="C93" s="27"/>
      <c r="D93" s="27"/>
      <c r="E93" s="27"/>
      <c r="F93" s="2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ht="1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ht="1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ht="1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1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1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1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1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8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ht="18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ht="18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  <row r="1001" spans="1:43" ht="18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</row>
    <row r="1002" spans="1:43" ht="18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</row>
    <row r="1003" spans="1:43" ht="18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</row>
    <row r="1004" spans="1:43" ht="18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</row>
    <row r="1005" spans="1:43" ht="18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</row>
    <row r="1006" spans="1:43" ht="18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</row>
    <row r="1007" spans="1:43" ht="18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</row>
    <row r="1008" spans="1:43" ht="18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</row>
    <row r="1009" spans="1:43" ht="18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</row>
    <row r="1010" spans="1:43" ht="18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</row>
    <row r="1011" spans="1:43" ht="18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</row>
    <row r="1012" spans="1:43" ht="18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</row>
    <row r="1013" spans="1:43" ht="18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</row>
    <row r="1014" spans="1:43" ht="18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</row>
    <row r="1015" spans="1:43" ht="18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</row>
    <row r="1016" spans="1:43" ht="18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</row>
    <row r="1017" spans="1:43" ht="18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</row>
    <row r="1018" spans="1:43" ht="18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</row>
    <row r="1019" spans="1:43" ht="18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</row>
    <row r="1020" spans="1:43" ht="18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</row>
    <row r="1021" spans="1:43" ht="18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</row>
    <row r="1022" spans="1:43" ht="18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</row>
    <row r="1023" spans="1:43" ht="18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</row>
    <row r="1024" spans="1:43" ht="18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</row>
    <row r="1025" spans="1:43" ht="18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</row>
    <row r="1026" spans="1:43" ht="18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</row>
    <row r="1027" spans="1:43" ht="18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</row>
    <row r="1028" spans="1:43" ht="18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</row>
    <row r="1029" spans="1:43" ht="18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</row>
    <row r="1030" spans="1:43" ht="18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</row>
    <row r="1031" spans="1:43" ht="18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</row>
    <row r="1032" spans="1:43" ht="18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</row>
    <row r="1033" spans="1:43" ht="18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</row>
    <row r="1034" spans="1:43" ht="18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</row>
    <row r="1035" spans="1:43" ht="18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</row>
    <row r="1036" spans="1:43" ht="18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</row>
    <row r="1037" spans="1:43" ht="18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</row>
    <row r="1038" spans="1:43" ht="18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</row>
    <row r="1039" spans="1:43" ht="18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</row>
    <row r="1040" spans="1:43" ht="18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</row>
    <row r="1041" spans="1:43" ht="18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</row>
    <row r="1042" spans="1:43" ht="18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</row>
    <row r="1043" spans="1:43" ht="18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</row>
    <row r="1044" spans="1:43" ht="18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</row>
    <row r="1045" spans="1:43" ht="18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</row>
    <row r="1046" spans="1:43" ht="18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</row>
    <row r="1047" spans="1:43" ht="18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</row>
    <row r="1048" spans="1:43" ht="18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</row>
    <row r="1049" spans="1:43" ht="18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</row>
    <row r="1050" spans="1:43" ht="18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</row>
    <row r="1051" spans="1:43" ht="18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</row>
    <row r="1052" spans="1:43" ht="18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</row>
    <row r="1053" spans="1:43" ht="18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</row>
    <row r="1054" spans="1:43" ht="18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</row>
    <row r="1055" spans="1:43" ht="18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</row>
    <row r="1056" spans="1:43" ht="18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</row>
    <row r="1057" spans="1:43" ht="18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</row>
    <row r="1058" spans="1:43" ht="18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</row>
    <row r="1059" spans="1:43" ht="18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</row>
    <row r="1060" spans="1:43" ht="18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</row>
    <row r="1061" spans="1:43" ht="18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</row>
    <row r="1062" spans="1:43" ht="18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</row>
    <row r="1063" spans="1:43" ht="18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</row>
    <row r="1064" spans="1:43" ht="18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</row>
    <row r="1065" spans="1:43" ht="18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</row>
    <row r="1066" spans="1:43" ht="18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</row>
    <row r="1067" spans="1:43" ht="18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</row>
    <row r="1068" spans="1:43" ht="18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</row>
    <row r="1069" spans="1:43" ht="18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</row>
    <row r="1070" spans="1:43" ht="18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</row>
    <row r="1071" spans="1:43" ht="18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</row>
    <row r="1072" spans="1:43" ht="18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</row>
    <row r="1073" spans="1:43" ht="18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</row>
    <row r="1074" spans="1:43" ht="18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</row>
    <row r="1075" spans="1:43" ht="18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</row>
    <row r="1076" spans="1:43" ht="18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</row>
    <row r="1077" spans="1:43" ht="18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</row>
    <row r="1078" spans="1:43" ht="18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</row>
    <row r="1079" spans="1:43" ht="18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</row>
    <row r="1080" spans="1:43" ht="18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</row>
    <row r="1081" spans="1:43" ht="18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</row>
    <row r="1082" spans="1:43" ht="18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</row>
    <row r="1083" spans="1:43" ht="18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</row>
    <row r="1084" spans="1:43" ht="18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</row>
    <row r="1085" spans="1:43" ht="18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</row>
    <row r="1086" spans="1:43" ht="18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</row>
    <row r="1087" spans="1:43" ht="18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</row>
    <row r="1088" spans="1:43" ht="18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</row>
    <row r="1089" spans="1:43" ht="18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</row>
    <row r="1090" spans="1:43" ht="18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</row>
    <row r="1091" spans="1:43" ht="18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</row>
    <row r="1092" spans="1:43" ht="18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</row>
    <row r="1093" spans="1:43" ht="18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</row>
    <row r="1094" spans="1:43" ht="18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</row>
    <row r="1095" spans="1:43" ht="18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</row>
    <row r="1096" spans="1:43" ht="18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</row>
    <row r="1097" spans="1:43" ht="18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</row>
    <row r="1098" spans="1:43" ht="18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</row>
    <row r="1099" spans="1:43" ht="18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</row>
    <row r="1100" spans="1:43" ht="18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</row>
    <row r="1101" spans="1:43" ht="18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</row>
    <row r="1102" spans="1:43" ht="18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</row>
    <row r="1103" spans="1:43" ht="18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</row>
    <row r="1104" spans="1:43" ht="18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</row>
    <row r="1105" spans="1:43" ht="18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</row>
    <row r="1106" spans="1:43" ht="18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</row>
    <row r="1107" spans="1:43" ht="18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</row>
    <row r="1108" spans="1:43" ht="18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</row>
    <row r="1109" spans="1:43" ht="18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</row>
    <row r="1110" spans="1:43" ht="18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</row>
    <row r="1111" spans="1:43" ht="18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</row>
    <row r="1112" spans="1:43" ht="18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</row>
    <row r="1113" spans="1:43" ht="18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</row>
    <row r="1114" spans="1:43" ht="18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</row>
    <row r="1115" spans="1:43" ht="18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</row>
    <row r="1116" spans="1:43" ht="18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</row>
    <row r="1117" spans="1:43" ht="18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</row>
    <row r="1118" spans="1:43" ht="18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</row>
    <row r="1119" spans="1:43" ht="18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</row>
    <row r="1120" spans="1:43" ht="18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</row>
    <row r="1121" spans="1:43" ht="18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</row>
    <row r="1122" spans="1:43" ht="18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</row>
    <row r="1123" spans="1:43" ht="18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</row>
    <row r="1124" spans="1:43" ht="18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</row>
    <row r="1125" spans="1:43" ht="18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</row>
    <row r="1126" spans="1:43" ht="18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</row>
    <row r="1127" spans="1:43" ht="18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</row>
    <row r="1128" spans="1:43" ht="18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</row>
    <row r="1129" spans="1:43" ht="18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</row>
    <row r="1130" spans="1:43" ht="18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</row>
    <row r="1131" spans="1:43" ht="18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</row>
    <row r="1132" spans="1:43" ht="18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</row>
    <row r="1133" spans="1:43" ht="18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</row>
    <row r="1134" spans="1:43" ht="18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</row>
    <row r="1135" spans="1:43" ht="18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</row>
    <row r="1136" spans="1:43" ht="18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</row>
    <row r="1137" spans="1:43" ht="18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</row>
    <row r="1138" spans="1:43" ht="18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</row>
    <row r="1139" spans="1:43" ht="18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</row>
    <row r="1140" spans="1:43" ht="18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</row>
    <row r="1141" spans="1:43" ht="18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</row>
    <row r="1142" spans="1:43" ht="18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</row>
    <row r="1143" spans="1:43" ht="18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</row>
    <row r="1144" spans="1:43" ht="18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</row>
    <row r="1145" spans="1:43" ht="18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</row>
    <row r="1146" spans="1:43" ht="18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</row>
    <row r="1147" spans="1:43" ht="18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</row>
    <row r="1148" spans="1:43" ht="18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</row>
    <row r="1149" spans="1:43" ht="18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</row>
    <row r="1150" spans="1:43" ht="18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</row>
    <row r="1151" spans="1:43" ht="18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</row>
    <row r="1152" spans="1:43" ht="18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</row>
    <row r="1153" spans="1:43" ht="18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</row>
    <row r="1154" spans="1:43" ht="18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</row>
    <row r="1155" spans="1:43" ht="18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</row>
    <row r="1156" spans="1:43" ht="18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</row>
    <row r="1157" spans="1:43" ht="18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</row>
    <row r="1158" spans="1:43" ht="18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</row>
    <row r="1159" spans="1:43" ht="18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</row>
    <row r="1160" spans="1:43" ht="18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</row>
    <row r="1161" spans="1:43" ht="18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</row>
    <row r="1162" spans="1:43" ht="18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</row>
    <row r="1163" spans="1:43" ht="18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</row>
    <row r="1164" spans="1:43" ht="18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</row>
    <row r="1165" spans="1:43" ht="18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</row>
    <row r="1166" spans="1:43" ht="18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</row>
    <row r="1167" spans="1:43" ht="18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</row>
    <row r="1168" spans="1:43" ht="18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</row>
    <row r="1169" spans="1:43" ht="18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</row>
    <row r="1170" spans="1:43" ht="18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</row>
    <row r="1171" spans="1:43" ht="18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</row>
    <row r="1172" spans="1:43" ht="18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</row>
    <row r="1173" spans="1:43" ht="18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</row>
    <row r="1174" spans="1:43" ht="18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</row>
    <row r="1175" spans="1:43" ht="18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</row>
    <row r="1176" spans="1:43" ht="18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</row>
    <row r="1177" spans="1:43" ht="18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</row>
    <row r="1178" spans="1:43" ht="18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</row>
    <row r="1179" spans="1:43" ht="18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</row>
    <row r="1180" spans="1:43" ht="18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</row>
    <row r="1181" spans="1:43" ht="18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</row>
    <row r="1182" spans="1:43" ht="18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</row>
    <row r="1183" spans="1:43" ht="18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</row>
    <row r="1184" spans="1:43" ht="18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</row>
    <row r="1185" spans="1:43" ht="18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</row>
    <row r="1186" spans="1:43" ht="18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</row>
    <row r="1187" spans="1:43" ht="18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</row>
    <row r="1188" spans="1:43" ht="18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</row>
    <row r="1189" spans="1:43" ht="18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</row>
    <row r="1190" spans="1:43" ht="18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</row>
    <row r="1191" spans="1:43" ht="18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</row>
    <row r="1192" spans="1:43" ht="18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</row>
    <row r="1193" spans="1:43" ht="18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</row>
    <row r="1194" spans="1:43" ht="18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</row>
    <row r="1195" spans="1:43" ht="18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</row>
    <row r="1196" spans="1:43" ht="18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</row>
    <row r="1197" spans="1:43" ht="18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</row>
    <row r="1198" spans="1:43" ht="18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</row>
    <row r="1199" spans="1:43" ht="18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</row>
    <row r="1200" spans="1:43" ht="18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</row>
    <row r="1201" spans="1:43" ht="18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</row>
    <row r="1202" spans="1:43" ht="18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</row>
    <row r="1203" spans="1:43" ht="18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</row>
    <row r="1204" spans="1:43" ht="18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</row>
    <row r="1205" spans="1:43" ht="18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</row>
    <row r="1206" spans="1:43" ht="18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</row>
    <row r="1207" spans="1:43" ht="18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</row>
    <row r="1208" spans="1:43" ht="18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</row>
    <row r="1209" spans="1:43" ht="18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</row>
    <row r="1210" spans="1:43" ht="18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</row>
    <row r="1211" spans="1:43" ht="18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</row>
    <row r="1212" spans="1:43" ht="18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</row>
    <row r="1213" spans="1:43" ht="18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</row>
    <row r="1214" spans="1:43" ht="18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</row>
    <row r="1215" spans="1:43" ht="18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</row>
    <row r="1216" spans="1:43" ht="18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</row>
    <row r="1217" spans="1:43" ht="18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</row>
    <row r="1218" spans="1:43" ht="18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</row>
    <row r="1219" spans="1:43" ht="18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</row>
    <row r="1220" spans="1:43" ht="18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</row>
    <row r="1221" spans="1:43" ht="18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</row>
    <row r="1222" spans="1:43" ht="18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</row>
    <row r="1223" spans="1:43" ht="18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</row>
    <row r="1224" spans="1:43" ht="18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</row>
    <row r="1225" spans="1:43" ht="18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</row>
    <row r="1226" spans="1:43" ht="18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</row>
    <row r="1227" spans="1:43" ht="18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</row>
    <row r="1228" spans="1:43" ht="18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</row>
    <row r="1229" spans="1:43" ht="18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</row>
    <row r="1230" spans="1:43" ht="18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</row>
    <row r="1231" spans="1:43" ht="18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</row>
    <row r="1232" spans="1:43" ht="18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</row>
    <row r="1233" spans="1:43" ht="18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</row>
    <row r="1234" spans="1:43" ht="18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</row>
    <row r="1235" spans="1:43" ht="18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</row>
    <row r="1236" spans="1:43" ht="18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</row>
    <row r="1237" spans="1:43" ht="18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</row>
    <row r="1238" spans="1:43" ht="18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</row>
    <row r="1239" spans="1:43" ht="18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</row>
    <row r="1240" spans="1:43" ht="18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</row>
    <row r="1241" spans="1:43" ht="18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</row>
    <row r="1242" spans="1:43" ht="18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</row>
    <row r="1243" spans="1:43" ht="18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</row>
    <row r="1244" spans="1:43" ht="18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</row>
    <row r="1245" spans="1:43" ht="18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</row>
    <row r="1246" spans="1:43" ht="18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</row>
    <row r="1247" spans="1:43" ht="18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</row>
    <row r="1248" spans="1:43" ht="18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</row>
    <row r="1249" spans="1:43" ht="18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</row>
    <row r="1250" spans="1:43" ht="18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</row>
    <row r="1251" spans="1:43" ht="18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</row>
    <row r="1252" spans="1:43" ht="18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</row>
    <row r="1253" spans="1:43" ht="18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</row>
    <row r="1254" spans="1:43" ht="18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</row>
    <row r="1255" spans="1:43" ht="18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</row>
    <row r="1256" spans="1:43" ht="18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</row>
    <row r="1257" spans="1:43" ht="18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</row>
    <row r="1258" spans="1:43" ht="18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</row>
    <row r="1259" spans="1:43" ht="18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</row>
    <row r="1260" spans="1:43" ht="18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</row>
    <row r="1261" spans="1:43" ht="18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</row>
    <row r="1262" spans="1:43" ht="18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</row>
    <row r="1263" spans="1:43" ht="18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</row>
    <row r="1264" spans="1:43" ht="18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</row>
    <row r="1265" spans="1:43" ht="18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</row>
    <row r="1266" spans="1:43" ht="18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</row>
    <row r="1267" spans="1:43" ht="18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</row>
    <row r="1268" spans="1:43" ht="18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</row>
    <row r="1269" spans="1:43" ht="18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</row>
    <row r="1270" spans="1:43" ht="18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</row>
    <row r="1271" spans="1:43" ht="18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</row>
    <row r="1272" spans="1:43" ht="18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</row>
    <row r="1273" spans="1:43" ht="18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</row>
    <row r="1274" spans="1:43" ht="18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</row>
    <row r="1275" spans="1:43" ht="18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</row>
    <row r="1276" spans="1:43" ht="18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</row>
    <row r="1277" spans="1:43" ht="18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</row>
    <row r="1278" spans="1:43" ht="18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</row>
    <row r="1279" spans="1:43" ht="18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</row>
    <row r="1280" spans="1:43" ht="18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</row>
    <row r="1281" spans="1:43" ht="18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</row>
    <row r="1282" spans="1:43" ht="18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</row>
    <row r="1283" spans="1:43" ht="18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</row>
    <row r="1284" spans="1:43" ht="18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</row>
    <row r="1285" spans="1:43" ht="18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</row>
    <row r="1286" spans="1:43" ht="18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</row>
    <row r="1287" spans="1:43" ht="18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</row>
    <row r="1288" spans="1:43" ht="18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</row>
    <row r="1289" spans="1:43" ht="18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</row>
    <row r="1290" spans="1:43" ht="18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</row>
    <row r="1291" spans="1:43" ht="18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</row>
    <row r="1292" spans="1:43" ht="18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</row>
    <row r="1293" spans="1:43" ht="18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</row>
    <row r="1294" spans="1:43" ht="18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</row>
    <row r="1295" spans="1:43" ht="18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</row>
    <row r="1296" spans="1:43" ht="18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</row>
    <row r="1297" spans="1:43" ht="18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</row>
    <row r="1298" spans="1:43" ht="18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</row>
    <row r="1299" spans="1:43" ht="18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</row>
    <row r="1300" spans="1:43" ht="18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</row>
    <row r="1301" spans="1:43" ht="18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</row>
    <row r="1302" spans="1:43" ht="18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</row>
    <row r="1303" spans="1:43" ht="18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</row>
    <row r="1304" spans="1:43" ht="18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</row>
    <row r="1305" spans="1:43" ht="18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</row>
    <row r="1306" spans="1:43" ht="18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</row>
    <row r="1307" spans="1:43" ht="18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</row>
    <row r="1308" spans="1:43" ht="18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</row>
    <row r="1309" spans="1:43" ht="18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</row>
    <row r="1310" spans="1:43" ht="18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</row>
    <row r="1311" spans="1:43" ht="18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</row>
    <row r="1312" spans="1:43" ht="18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</row>
    <row r="1313" spans="1:43" ht="18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</row>
    <row r="1314" spans="1:43" ht="18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</row>
    <row r="1315" spans="1:43" ht="18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</row>
    <row r="1316" spans="1:43" ht="18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</row>
    <row r="1317" spans="1:43" ht="18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</row>
    <row r="1318" spans="1:43" ht="18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</row>
    <row r="1319" spans="1:43" ht="18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</row>
    <row r="1320" spans="1:43" ht="18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</row>
    <row r="1321" spans="1:43" ht="18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</row>
    <row r="1322" spans="1:43" ht="18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</row>
    <row r="1323" spans="1:43" ht="18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</row>
    <row r="1324" spans="1:43" ht="18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</row>
    <row r="1325" spans="1:43" ht="18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</row>
    <row r="1326" spans="1:43" ht="18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</row>
    <row r="1327" spans="1:43" ht="18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</row>
    <row r="1328" spans="1:43" ht="18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</row>
    <row r="1329" spans="1:43" ht="18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</row>
    <row r="1330" spans="1:43" ht="18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</row>
    <row r="1331" spans="1:43" ht="18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</row>
    <row r="1332" spans="1:43" ht="18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</row>
    <row r="1333" spans="1:43" ht="18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</row>
    <row r="1334" spans="1:43" ht="18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</row>
    <row r="1335" spans="1:43" ht="18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</row>
    <row r="1336" spans="1:43" ht="18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</row>
    <row r="1337" spans="1:43" ht="18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</row>
    <row r="1338" spans="1:43" ht="18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</row>
    <row r="1339" spans="1:43" ht="18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</row>
    <row r="1340" spans="1:43" ht="18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</row>
    <row r="1341" spans="1:43" ht="18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</row>
    <row r="1342" spans="1:43" ht="18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</row>
    <row r="1343" spans="1:43" ht="18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</row>
    <row r="1344" spans="1:43" ht="18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</row>
    <row r="1345" spans="1:43" ht="18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</row>
    <row r="1346" spans="1:43" ht="18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</row>
    <row r="1347" spans="1:43" ht="18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</row>
    <row r="1348" spans="1:43" ht="18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</row>
    <row r="1349" spans="1:43" ht="18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</row>
    <row r="1350" spans="1:43" ht="18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</row>
    <row r="1351" spans="1:43" ht="18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</row>
    <row r="1352" spans="1:43" ht="18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</row>
    <row r="1353" spans="1:43" ht="18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</row>
    <row r="1354" spans="1:43" ht="18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</row>
    <row r="1355" spans="1:43" ht="18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</row>
    <row r="1356" spans="1:43" ht="18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</row>
    <row r="1357" spans="1:43" ht="18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</row>
    <row r="1358" spans="1:43" ht="18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</row>
    <row r="1359" spans="1:43" ht="18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</row>
    <row r="1360" spans="1:43" ht="18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</row>
    <row r="1361" spans="1:43" ht="18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</row>
    <row r="1362" spans="1:43" ht="18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</row>
    <row r="1363" spans="1:43" ht="18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</row>
    <row r="1364" spans="1:43" ht="18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</row>
    <row r="1365" spans="1:43" ht="18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</row>
    <row r="1366" spans="1:43" ht="18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</row>
    <row r="1367" spans="1:43" ht="18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</row>
    <row r="1368" spans="1:43" ht="18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</row>
    <row r="1369" spans="1:43" ht="18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</row>
    <row r="1370" spans="1:43" ht="18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</row>
    <row r="1371" spans="1:43" ht="18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</row>
    <row r="1372" spans="1:43" ht="18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</row>
    <row r="1373" spans="1:43" ht="18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</row>
    <row r="1374" spans="1:43" ht="18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</row>
    <row r="1375" spans="1:43" ht="18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</row>
    <row r="1376" spans="1:43" ht="18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</row>
    <row r="1377" spans="1:43" ht="18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</row>
    <row r="1378" spans="1:43" ht="18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</row>
    <row r="1379" spans="1:43" ht="18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</row>
    <row r="1380" spans="1:43" ht="18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</row>
    <row r="1381" spans="1:43" ht="18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</row>
    <row r="1382" spans="1:43" ht="18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</row>
    <row r="1383" spans="1:43" ht="18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</row>
    <row r="1384" spans="1:43" ht="18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</row>
    <row r="1385" spans="1:43" ht="18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</row>
    <row r="1386" spans="1:43" ht="18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</row>
    <row r="1387" spans="1:43" ht="18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</row>
    <row r="1388" spans="1:43" ht="18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</row>
    <row r="1389" spans="1:43" ht="18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</row>
    <row r="1390" spans="1:43" ht="18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</row>
    <row r="1391" spans="1:43" ht="18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</row>
    <row r="1392" spans="1:43" ht="18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</row>
    <row r="1393" spans="1:43" ht="18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</row>
    <row r="1394" spans="1:43" ht="18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</row>
    <row r="1395" spans="1:43" ht="18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</row>
    <row r="1396" spans="1:43" ht="18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</row>
    <row r="1397" spans="1:43" ht="18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</row>
    <row r="1398" spans="1:43" ht="18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</row>
    <row r="1399" spans="1:43" ht="18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</row>
    <row r="1400" spans="1:43" ht="18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</row>
    <row r="1401" spans="1:43" ht="18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</row>
    <row r="1402" spans="1:43" ht="18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</row>
    <row r="1403" spans="1:43" ht="18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</row>
    <row r="1404" spans="1:43" ht="18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</row>
    <row r="1405" spans="1:43" ht="18" x14ac:dyDescent="0.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</row>
    <row r="1406" spans="1:43" ht="18" x14ac:dyDescent="0.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</row>
    <row r="1407" spans="1:43" ht="18" x14ac:dyDescent="0.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</row>
    <row r="1408" spans="1:43" ht="18" x14ac:dyDescent="0.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</row>
    <row r="1409" spans="1:43" ht="18" x14ac:dyDescent="0.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</row>
    <row r="1410" spans="1:43" ht="18" x14ac:dyDescent="0.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</row>
    <row r="1411" spans="1:43" ht="18" x14ac:dyDescent="0.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</row>
    <row r="1412" spans="1:43" ht="18" x14ac:dyDescent="0.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</row>
    <row r="1413" spans="1:43" ht="18" x14ac:dyDescent="0.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</row>
    <row r="1414" spans="1:43" ht="18" x14ac:dyDescent="0.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</row>
    <row r="1415" spans="1:43" ht="18" x14ac:dyDescent="0.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</row>
    <row r="1416" spans="1:43" ht="18" x14ac:dyDescent="0.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</row>
    <row r="1417" spans="1:43" ht="18" x14ac:dyDescent="0.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</row>
    <row r="1418" spans="1:43" ht="18" x14ac:dyDescent="0.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</row>
    <row r="1419" spans="1:43" ht="18" x14ac:dyDescent="0.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</row>
    <row r="1420" spans="1:43" ht="18" x14ac:dyDescent="0.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</row>
    <row r="1421" spans="1:43" ht="18" x14ac:dyDescent="0.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</row>
    <row r="1422" spans="1:43" ht="18" x14ac:dyDescent="0.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</row>
    <row r="1423" spans="1:43" ht="18" x14ac:dyDescent="0.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</row>
    <row r="1424" spans="1:43" ht="18" x14ac:dyDescent="0.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</row>
    <row r="1425" spans="1:43" ht="18" x14ac:dyDescent="0.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</row>
    <row r="1426" spans="1:43" ht="18" x14ac:dyDescent="0.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</row>
    <row r="1427" spans="1:43" ht="18" x14ac:dyDescent="0.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</row>
    <row r="1428" spans="1:43" ht="18" x14ac:dyDescent="0.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</row>
    <row r="1429" spans="1:43" ht="18" x14ac:dyDescent="0.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</row>
    <row r="1430" spans="1:43" ht="18" x14ac:dyDescent="0.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</row>
    <row r="1431" spans="1:43" ht="18" x14ac:dyDescent="0.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</row>
    <row r="1432" spans="1:43" ht="18" x14ac:dyDescent="0.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</row>
    <row r="1433" spans="1:43" ht="18" x14ac:dyDescent="0.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</row>
    <row r="1434" spans="1:43" ht="18" x14ac:dyDescent="0.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</row>
    <row r="1435" spans="1:43" ht="18" x14ac:dyDescent="0.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</row>
    <row r="1436" spans="1:43" ht="18" x14ac:dyDescent="0.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</row>
    <row r="1437" spans="1:43" ht="18" x14ac:dyDescent="0.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</row>
    <row r="1438" spans="1:43" ht="18" x14ac:dyDescent="0.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</row>
    <row r="1439" spans="1:43" ht="18" x14ac:dyDescent="0.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</row>
    <row r="1440" spans="1:43" ht="18" x14ac:dyDescent="0.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</row>
    <row r="1441" spans="1:43" ht="18" x14ac:dyDescent="0.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</row>
    <row r="1442" spans="1:43" ht="18" x14ac:dyDescent="0.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</row>
    <row r="1443" spans="1:43" ht="18" x14ac:dyDescent="0.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</row>
    <row r="1444" spans="1:43" ht="18" x14ac:dyDescent="0.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</row>
    <row r="1445" spans="1:43" ht="18" x14ac:dyDescent="0.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</row>
    <row r="1446" spans="1:43" ht="18" x14ac:dyDescent="0.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</row>
    <row r="1447" spans="1:43" ht="18" x14ac:dyDescent="0.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</row>
    <row r="1448" spans="1:43" ht="18" x14ac:dyDescent="0.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</row>
    <row r="1449" spans="1:43" ht="18" x14ac:dyDescent="0.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</row>
    <row r="1450" spans="1:43" ht="18" x14ac:dyDescent="0.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</row>
    <row r="1451" spans="1:43" ht="18" x14ac:dyDescent="0.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</row>
    <row r="1452" spans="1:43" ht="18" x14ac:dyDescent="0.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</row>
    <row r="1453" spans="1:43" ht="18" x14ac:dyDescent="0.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</row>
    <row r="1454" spans="1:43" ht="18" x14ac:dyDescent="0.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</row>
    <row r="1455" spans="1:43" ht="18" x14ac:dyDescent="0.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</row>
    <row r="1456" spans="1:43" ht="18" x14ac:dyDescent="0.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</row>
    <row r="1457" spans="1:43" ht="18" x14ac:dyDescent="0.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</row>
    <row r="1458" spans="1:43" ht="18" x14ac:dyDescent="0.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</row>
    <row r="1459" spans="1:43" ht="18" x14ac:dyDescent="0.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</row>
    <row r="1460" spans="1:43" ht="18" x14ac:dyDescent="0.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</row>
    <row r="1461" spans="1:43" ht="18" x14ac:dyDescent="0.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</row>
    <row r="1462" spans="1:43" ht="18" x14ac:dyDescent="0.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</row>
    <row r="1463" spans="1:43" ht="18" x14ac:dyDescent="0.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</row>
    <row r="1464" spans="1:43" ht="18" x14ac:dyDescent="0.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</row>
    <row r="1465" spans="1:43" ht="18" x14ac:dyDescent="0.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</row>
    <row r="1466" spans="1:43" ht="18" x14ac:dyDescent="0.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</row>
    <row r="1467" spans="1:43" ht="18" x14ac:dyDescent="0.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</row>
    <row r="1468" spans="1:43" ht="18" x14ac:dyDescent="0.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</row>
    <row r="1469" spans="1:43" ht="18" x14ac:dyDescent="0.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</row>
    <row r="1470" spans="1:43" ht="18" x14ac:dyDescent="0.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</row>
    <row r="1471" spans="1:43" ht="18" x14ac:dyDescent="0.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</row>
    <row r="1472" spans="1:43" ht="18" x14ac:dyDescent="0.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</row>
    <row r="1473" spans="1:43" ht="18" x14ac:dyDescent="0.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</row>
    <row r="1474" spans="1:43" ht="18" x14ac:dyDescent="0.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</row>
    <row r="1475" spans="1:43" ht="18" x14ac:dyDescent="0.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</row>
    <row r="1476" spans="1:43" ht="18" x14ac:dyDescent="0.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</row>
    <row r="1477" spans="1:43" ht="18" x14ac:dyDescent="0.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</row>
    <row r="1478" spans="1:43" ht="18" x14ac:dyDescent="0.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</row>
    <row r="1479" spans="1:43" ht="18" x14ac:dyDescent="0.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</row>
    <row r="1480" spans="1:43" ht="18" x14ac:dyDescent="0.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</row>
    <row r="1481" spans="1:43" ht="18" x14ac:dyDescent="0.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</row>
    <row r="1482" spans="1:43" ht="18" x14ac:dyDescent="0.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</row>
    <row r="1483" spans="1:43" ht="18" x14ac:dyDescent="0.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</row>
    <row r="1484" spans="1:43" ht="18" x14ac:dyDescent="0.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</row>
    <row r="1485" spans="1:43" ht="18" x14ac:dyDescent="0.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</row>
    <row r="1486" spans="1:43" ht="18" x14ac:dyDescent="0.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</row>
    <row r="1487" spans="1:43" ht="18" x14ac:dyDescent="0.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</row>
    <row r="1488" spans="1:43" ht="18" x14ac:dyDescent="0.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</row>
    <row r="1489" spans="1:43" ht="18" x14ac:dyDescent="0.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</row>
    <row r="1490" spans="1:43" ht="18" x14ac:dyDescent="0.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</row>
    <row r="1491" spans="1:43" ht="18" x14ac:dyDescent="0.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</row>
    <row r="1492" spans="1:43" ht="18" x14ac:dyDescent="0.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</row>
    <row r="1493" spans="1:43" ht="18" x14ac:dyDescent="0.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</row>
    <row r="1494" spans="1:43" ht="18" x14ac:dyDescent="0.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</row>
    <row r="1495" spans="1:43" ht="18" x14ac:dyDescent="0.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</row>
    <row r="1496" spans="1:43" ht="18" x14ac:dyDescent="0.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</row>
    <row r="1497" spans="1:43" ht="18" x14ac:dyDescent="0.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</row>
    <row r="1498" spans="1:43" ht="18" x14ac:dyDescent="0.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</row>
    <row r="1499" spans="1:43" ht="18" x14ac:dyDescent="0.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</row>
    <row r="1500" spans="1:43" ht="18" x14ac:dyDescent="0.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</row>
    <row r="1501" spans="1:43" ht="18" x14ac:dyDescent="0.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</row>
    <row r="1502" spans="1:43" ht="18" x14ac:dyDescent="0.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</row>
    <row r="1503" spans="1:43" ht="18" x14ac:dyDescent="0.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</row>
    <row r="1504" spans="1:43" ht="18" x14ac:dyDescent="0.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</row>
    <row r="1505" spans="1:43" ht="18" x14ac:dyDescent="0.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</row>
    <row r="1506" spans="1:43" ht="18" x14ac:dyDescent="0.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</row>
    <row r="1507" spans="1:43" ht="18" x14ac:dyDescent="0.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</row>
    <row r="1508" spans="1:43" ht="18" x14ac:dyDescent="0.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</row>
    <row r="1509" spans="1:43" ht="18" x14ac:dyDescent="0.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</row>
    <row r="1510" spans="1:43" ht="18" x14ac:dyDescent="0.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</row>
    <row r="1511" spans="1:43" ht="18" x14ac:dyDescent="0.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</row>
    <row r="1512" spans="1:43" ht="18" x14ac:dyDescent="0.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</row>
    <row r="1513" spans="1:43" ht="18" x14ac:dyDescent="0.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</row>
    <row r="1514" spans="1:43" ht="18" x14ac:dyDescent="0.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</row>
    <row r="1515" spans="1:43" ht="18" x14ac:dyDescent="0.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</row>
    <row r="1516" spans="1:43" ht="18" x14ac:dyDescent="0.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</row>
    <row r="1517" spans="1:43" ht="18" x14ac:dyDescent="0.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</row>
    <row r="1518" spans="1:43" ht="18" x14ac:dyDescent="0.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</row>
    <row r="1519" spans="1:43" ht="18" x14ac:dyDescent="0.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</row>
    <row r="1520" spans="1:43" ht="18" x14ac:dyDescent="0.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</row>
    <row r="1521" spans="1:43" ht="18" x14ac:dyDescent="0.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</row>
    <row r="1522" spans="1:43" ht="18" x14ac:dyDescent="0.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</row>
    <row r="1523" spans="1:43" ht="18" x14ac:dyDescent="0.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</row>
    <row r="1524" spans="1:43" ht="18" x14ac:dyDescent="0.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</row>
    <row r="1525" spans="1:43" ht="18" x14ac:dyDescent="0.4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</row>
    <row r="1526" spans="1:43" ht="18" x14ac:dyDescent="0.4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</row>
    <row r="1527" spans="1:43" ht="18" x14ac:dyDescent="0.4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</row>
    <row r="1528" spans="1:43" ht="18" x14ac:dyDescent="0.4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</row>
    <row r="1529" spans="1:43" ht="18" x14ac:dyDescent="0.4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</row>
    <row r="1530" spans="1:43" ht="18" x14ac:dyDescent="0.4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</row>
    <row r="1531" spans="1:43" ht="18" x14ac:dyDescent="0.4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</row>
    <row r="1532" spans="1:43" ht="18" x14ac:dyDescent="0.4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</row>
    <row r="1533" spans="1:43" ht="18" x14ac:dyDescent="0.4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</row>
    <row r="1534" spans="1:43" ht="18" x14ac:dyDescent="0.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</row>
    <row r="1535" spans="1:43" ht="18" x14ac:dyDescent="0.4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</row>
    <row r="1536" spans="1:43" ht="18" x14ac:dyDescent="0.4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</row>
    <row r="1537" spans="1:43" ht="18" x14ac:dyDescent="0.4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</row>
    <row r="1538" spans="1:43" ht="18" x14ac:dyDescent="0.4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</row>
    <row r="1539" spans="1:43" ht="18" x14ac:dyDescent="0.4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</row>
    <row r="1540" spans="1:43" ht="18" x14ac:dyDescent="0.4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</row>
    <row r="1541" spans="1:43" ht="18" x14ac:dyDescent="0.4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</row>
    <row r="1542" spans="1:43" ht="18" x14ac:dyDescent="0.4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</row>
    <row r="1543" spans="1:43" ht="18" x14ac:dyDescent="0.4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</row>
    <row r="1544" spans="1:43" ht="18" x14ac:dyDescent="0.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</row>
    <row r="1545" spans="1:43" ht="18" x14ac:dyDescent="0.4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</row>
    <row r="1546" spans="1:43" ht="18" x14ac:dyDescent="0.4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</row>
    <row r="1547" spans="1:43" ht="18" x14ac:dyDescent="0.4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</row>
    <row r="1548" spans="1:43" ht="18" x14ac:dyDescent="0.4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</row>
    <row r="1549" spans="1:43" ht="18" x14ac:dyDescent="0.4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</row>
    <row r="1550" spans="1:43" ht="18" x14ac:dyDescent="0.4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</row>
    <row r="1551" spans="1:43" ht="18" x14ac:dyDescent="0.4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</row>
    <row r="1552" spans="1:43" ht="18" x14ac:dyDescent="0.4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</row>
    <row r="1553" spans="1:43" ht="18" x14ac:dyDescent="0.4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</row>
    <row r="1554" spans="1:43" ht="18" x14ac:dyDescent="0.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</row>
    <row r="1555" spans="1:43" ht="18" x14ac:dyDescent="0.4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</row>
    <row r="1556" spans="1:43" ht="18" x14ac:dyDescent="0.4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</row>
    <row r="1557" spans="1:43" ht="18" x14ac:dyDescent="0.4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</row>
    <row r="1558" spans="1:43" ht="18" x14ac:dyDescent="0.4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</row>
    <row r="1559" spans="1:43" ht="18" x14ac:dyDescent="0.4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</row>
    <row r="1560" spans="1:43" ht="18" x14ac:dyDescent="0.4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</row>
    <row r="1561" spans="1:43" ht="18" x14ac:dyDescent="0.4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</row>
    <row r="1562" spans="1:43" ht="18" x14ac:dyDescent="0.4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</row>
    <row r="1563" spans="1:43" ht="18" x14ac:dyDescent="0.4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</row>
    <row r="1564" spans="1:43" ht="18" x14ac:dyDescent="0.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</row>
    <row r="1565" spans="1:43" ht="18" x14ac:dyDescent="0.4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</row>
    <row r="1566" spans="1:43" ht="18" x14ac:dyDescent="0.4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</row>
    <row r="1567" spans="1:43" ht="18" x14ac:dyDescent="0.4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</row>
    <row r="1568" spans="1:43" ht="18" x14ac:dyDescent="0.4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</row>
    <row r="1569" spans="1:43" ht="18" x14ac:dyDescent="0.4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</row>
    <row r="1570" spans="1:43" ht="18" x14ac:dyDescent="0.4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</row>
    <row r="1571" spans="1:43" ht="18" x14ac:dyDescent="0.4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</row>
    <row r="1572" spans="1:43" ht="18" x14ac:dyDescent="0.4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</row>
    <row r="1573" spans="1:43" ht="18" x14ac:dyDescent="0.4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</row>
    <row r="1574" spans="1:43" ht="18" x14ac:dyDescent="0.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</row>
    <row r="1575" spans="1:43" ht="18" x14ac:dyDescent="0.4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</row>
    <row r="1576" spans="1:43" ht="18" x14ac:dyDescent="0.4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</row>
    <row r="1577" spans="1:43" ht="18" x14ac:dyDescent="0.4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</row>
    <row r="1578" spans="1:43" ht="18" x14ac:dyDescent="0.4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</row>
    <row r="1579" spans="1:43" ht="18" x14ac:dyDescent="0.4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</row>
    <row r="1580" spans="1:43" ht="18" x14ac:dyDescent="0.4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</row>
    <row r="1581" spans="1:43" ht="18" x14ac:dyDescent="0.4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</row>
    <row r="1582" spans="1:43" ht="18" x14ac:dyDescent="0.4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</row>
    <row r="1583" spans="1:43" ht="18" x14ac:dyDescent="0.4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</row>
    <row r="1584" spans="1:43" ht="18" x14ac:dyDescent="0.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</row>
    <row r="1585" spans="1:43" ht="18" x14ac:dyDescent="0.4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</row>
    <row r="1586" spans="1:43" ht="18" x14ac:dyDescent="0.4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</row>
    <row r="1587" spans="1:43" ht="18" x14ac:dyDescent="0.4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</row>
    <row r="1588" spans="1:43" ht="18" x14ac:dyDescent="0.4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</row>
    <row r="1589" spans="1:43" ht="18" x14ac:dyDescent="0.4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</row>
    <row r="1590" spans="1:43" ht="18" x14ac:dyDescent="0.4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</row>
    <row r="1591" spans="1:43" ht="18" x14ac:dyDescent="0.4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</row>
    <row r="1592" spans="1:43" ht="18" x14ac:dyDescent="0.4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</row>
    <row r="1593" spans="1:43" ht="18" x14ac:dyDescent="0.4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</row>
    <row r="1594" spans="1:43" ht="18" x14ac:dyDescent="0.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</row>
    <row r="1595" spans="1:43" ht="18" x14ac:dyDescent="0.4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</row>
    <row r="1596" spans="1:43" ht="18" x14ac:dyDescent="0.4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</row>
    <row r="1597" spans="1:43" ht="18" x14ac:dyDescent="0.4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</row>
    <row r="1598" spans="1:43" ht="18" x14ac:dyDescent="0.4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</row>
    <row r="1599" spans="1:43" ht="18" x14ac:dyDescent="0.4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</row>
    <row r="1600" spans="1:43" ht="18" x14ac:dyDescent="0.4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</row>
    <row r="1601" spans="1:43" ht="18" x14ac:dyDescent="0.4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</row>
    <row r="1602" spans="1:43" ht="18" x14ac:dyDescent="0.4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</row>
    <row r="1603" spans="1:43" ht="18" x14ac:dyDescent="0.4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</row>
    <row r="1604" spans="1:43" ht="18" x14ac:dyDescent="0.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</row>
    <row r="1605" spans="1:43" ht="18" x14ac:dyDescent="0.4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</row>
    <row r="1606" spans="1:43" ht="18" x14ac:dyDescent="0.4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</row>
    <row r="1607" spans="1:43" ht="18" x14ac:dyDescent="0.4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</row>
    <row r="1608" spans="1:43" ht="18" x14ac:dyDescent="0.4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</row>
    <row r="1609" spans="1:43" ht="18" x14ac:dyDescent="0.4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</row>
    <row r="1610" spans="1:43" ht="18" x14ac:dyDescent="0.4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</row>
    <row r="1611" spans="1:43" ht="18" x14ac:dyDescent="0.4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</row>
    <row r="1612" spans="1:43" ht="18" x14ac:dyDescent="0.4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</row>
    <row r="1613" spans="1:43" ht="18" x14ac:dyDescent="0.4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</row>
    <row r="1614" spans="1:43" ht="18" x14ac:dyDescent="0.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</row>
    <row r="1615" spans="1:43" ht="18" x14ac:dyDescent="0.4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</row>
    <row r="1616" spans="1:43" ht="18" x14ac:dyDescent="0.4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</row>
    <row r="1617" spans="1:43" ht="18" x14ac:dyDescent="0.4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</row>
    <row r="1618" spans="1:43" ht="18" x14ac:dyDescent="0.4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</row>
    <row r="1619" spans="1:43" ht="18" x14ac:dyDescent="0.4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</row>
    <row r="1620" spans="1:43" ht="18" x14ac:dyDescent="0.4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</row>
    <row r="1621" spans="1:43" ht="18" x14ac:dyDescent="0.4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</row>
    <row r="1622" spans="1:43" ht="18" x14ac:dyDescent="0.4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</row>
    <row r="1623" spans="1:43" ht="18" x14ac:dyDescent="0.4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</row>
    <row r="1624" spans="1:43" ht="18" x14ac:dyDescent="0.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</row>
    <row r="1625" spans="1:43" ht="18" x14ac:dyDescent="0.4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</row>
    <row r="1626" spans="1:43" ht="18" x14ac:dyDescent="0.4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</row>
    <row r="1627" spans="1:43" ht="18" x14ac:dyDescent="0.4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</row>
    <row r="1628" spans="1:43" ht="18" x14ac:dyDescent="0.4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</row>
    <row r="1629" spans="1:43" ht="18" x14ac:dyDescent="0.4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</row>
    <row r="1630" spans="1:43" ht="18" x14ac:dyDescent="0.4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</row>
    <row r="1631" spans="1:43" ht="18" x14ac:dyDescent="0.4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</row>
    <row r="1632" spans="1:43" ht="18" x14ac:dyDescent="0.4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</row>
    <row r="1633" spans="1:43" ht="18" x14ac:dyDescent="0.4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</row>
    <row r="1634" spans="1:43" ht="18" x14ac:dyDescent="0.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</row>
    <row r="1635" spans="1:43" ht="18" x14ac:dyDescent="0.4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</row>
    <row r="1636" spans="1:43" ht="18" x14ac:dyDescent="0.4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</row>
    <row r="1637" spans="1:43" ht="18" x14ac:dyDescent="0.4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</row>
    <row r="1638" spans="1:43" ht="18" x14ac:dyDescent="0.4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</row>
    <row r="1639" spans="1:43" ht="18" x14ac:dyDescent="0.4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</row>
    <row r="1640" spans="1:43" ht="18" x14ac:dyDescent="0.4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</row>
    <row r="1641" spans="1:43" ht="18" x14ac:dyDescent="0.4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</row>
    <row r="1642" spans="1:43" ht="18" x14ac:dyDescent="0.4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</row>
    <row r="1643" spans="1:43" ht="18" x14ac:dyDescent="0.4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</row>
    <row r="1644" spans="1:43" ht="18" x14ac:dyDescent="0.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</row>
    <row r="1645" spans="1:43" ht="18" x14ac:dyDescent="0.4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</row>
    <row r="1646" spans="1:43" ht="18" x14ac:dyDescent="0.4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</row>
    <row r="1647" spans="1:43" ht="18" x14ac:dyDescent="0.4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</row>
    <row r="1648" spans="1:43" ht="18" x14ac:dyDescent="0.4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</row>
    <row r="1649" spans="1:43" ht="18" x14ac:dyDescent="0.4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</row>
    <row r="1650" spans="1:43" ht="18" x14ac:dyDescent="0.4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</row>
    <row r="1651" spans="1:43" ht="18" x14ac:dyDescent="0.4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</row>
    <row r="1652" spans="1:43" ht="18" x14ac:dyDescent="0.4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</row>
    <row r="1653" spans="1:43" ht="18" x14ac:dyDescent="0.4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</row>
    <row r="1654" spans="1:43" ht="18" x14ac:dyDescent="0.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</row>
    <row r="1655" spans="1:43" ht="18" x14ac:dyDescent="0.4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</row>
    <row r="1656" spans="1:43" ht="18" x14ac:dyDescent="0.4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</row>
    <row r="1657" spans="1:43" ht="18" x14ac:dyDescent="0.4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</row>
    <row r="1658" spans="1:43" ht="18" x14ac:dyDescent="0.4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</row>
    <row r="1659" spans="1:43" ht="18" x14ac:dyDescent="0.4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</row>
    <row r="1660" spans="1:43" ht="18" x14ac:dyDescent="0.4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</row>
    <row r="1661" spans="1:43" ht="18" x14ac:dyDescent="0.4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</row>
    <row r="1662" spans="1:43" ht="18" x14ac:dyDescent="0.4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</row>
    <row r="1663" spans="1:43" ht="18" x14ac:dyDescent="0.4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</row>
    <row r="1664" spans="1:43" ht="18" x14ac:dyDescent="0.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</row>
    <row r="1665" spans="1:43" ht="18" x14ac:dyDescent="0.4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</row>
    <row r="1666" spans="1:43" ht="18" x14ac:dyDescent="0.4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</row>
    <row r="1667" spans="1:43" ht="18" x14ac:dyDescent="0.4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</row>
    <row r="1668" spans="1:43" ht="18" x14ac:dyDescent="0.4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</row>
    <row r="1669" spans="1:43" ht="18" x14ac:dyDescent="0.4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</row>
    <row r="1670" spans="1:43" ht="18" x14ac:dyDescent="0.4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</row>
    <row r="1671" spans="1:43" ht="18" x14ac:dyDescent="0.4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</row>
    <row r="1672" spans="1:43" ht="18" x14ac:dyDescent="0.4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</row>
    <row r="1673" spans="1:43" ht="18" x14ac:dyDescent="0.4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</row>
    <row r="1674" spans="1:43" ht="18" x14ac:dyDescent="0.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</row>
    <row r="1675" spans="1:43" ht="18" x14ac:dyDescent="0.4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</row>
    <row r="1676" spans="1:43" ht="18" x14ac:dyDescent="0.4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</row>
    <row r="1677" spans="1:43" ht="18" x14ac:dyDescent="0.4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</row>
    <row r="1678" spans="1:43" ht="18" x14ac:dyDescent="0.4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</row>
    <row r="1679" spans="1:43" ht="18" x14ac:dyDescent="0.4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</row>
    <row r="1680" spans="1:43" ht="18" x14ac:dyDescent="0.4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</row>
    <row r="1681" spans="1:43" ht="18" x14ac:dyDescent="0.4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</row>
    <row r="1682" spans="1:43" ht="18" x14ac:dyDescent="0.4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</row>
    <row r="1683" spans="1:43" ht="18" x14ac:dyDescent="0.4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</row>
    <row r="1684" spans="1:43" ht="18" x14ac:dyDescent="0.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</row>
    <row r="1685" spans="1:43" ht="18" x14ac:dyDescent="0.4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</row>
    <row r="1686" spans="1:43" ht="18" x14ac:dyDescent="0.4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</row>
    <row r="1687" spans="1:43" ht="18" x14ac:dyDescent="0.4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</row>
    <row r="1688" spans="1:43" ht="18" x14ac:dyDescent="0.4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</row>
    <row r="1689" spans="1:43" ht="18" x14ac:dyDescent="0.4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</row>
    <row r="1690" spans="1:43" ht="18" x14ac:dyDescent="0.4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</row>
    <row r="1691" spans="1:43" ht="18" x14ac:dyDescent="0.4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</row>
    <row r="1692" spans="1:43" ht="18" x14ac:dyDescent="0.4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</row>
    <row r="1693" spans="1:43" ht="18" x14ac:dyDescent="0.4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</row>
    <row r="1694" spans="1:43" ht="18" x14ac:dyDescent="0.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</row>
    <row r="1695" spans="1:43" ht="18" x14ac:dyDescent="0.4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</row>
    <row r="1696" spans="1:43" ht="18" x14ac:dyDescent="0.4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</row>
    <row r="1697" spans="1:43" ht="18" x14ac:dyDescent="0.4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</row>
    <row r="1698" spans="1:43" ht="18" x14ac:dyDescent="0.4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</row>
    <row r="1699" spans="1:43" ht="18" x14ac:dyDescent="0.4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</row>
    <row r="1700" spans="1:43" ht="18" x14ac:dyDescent="0.4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</row>
    <row r="1701" spans="1:43" ht="18" x14ac:dyDescent="0.4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</row>
    <row r="1702" spans="1:43" ht="18" x14ac:dyDescent="0.4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</row>
    <row r="1703" spans="1:43" ht="18" x14ac:dyDescent="0.4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</row>
    <row r="1704" spans="1:43" ht="18" x14ac:dyDescent="0.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</row>
    <row r="1705" spans="1:43" ht="18" x14ac:dyDescent="0.4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</row>
    <row r="1706" spans="1:43" ht="18" x14ac:dyDescent="0.4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</row>
    <row r="1707" spans="1:43" ht="18" x14ac:dyDescent="0.4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</row>
    <row r="1708" spans="1:43" ht="18" x14ac:dyDescent="0.4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</row>
    <row r="1709" spans="1:43" ht="18" x14ac:dyDescent="0.4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</row>
    <row r="1710" spans="1:43" ht="18" x14ac:dyDescent="0.4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</row>
    <row r="1711" spans="1:43" ht="18" x14ac:dyDescent="0.4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</row>
    <row r="1712" spans="1:43" ht="18" x14ac:dyDescent="0.4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</row>
    <row r="1713" spans="1:43" ht="18" x14ac:dyDescent="0.4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</row>
    <row r="1714" spans="1:43" ht="18" x14ac:dyDescent="0.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</row>
    <row r="1715" spans="1:43" ht="18" x14ac:dyDescent="0.4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</row>
    <row r="1716" spans="1:43" ht="18" x14ac:dyDescent="0.4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</row>
    <row r="1717" spans="1:43" ht="18" x14ac:dyDescent="0.4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</row>
    <row r="1718" spans="1:43" ht="18" x14ac:dyDescent="0.4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</row>
    <row r="1719" spans="1:43" ht="18" x14ac:dyDescent="0.4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</row>
    <row r="1720" spans="1:43" ht="18" x14ac:dyDescent="0.4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</row>
    <row r="1721" spans="1:43" ht="18" x14ac:dyDescent="0.4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</row>
    <row r="1722" spans="1:43" ht="18" x14ac:dyDescent="0.4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</row>
    <row r="1723" spans="1:43" ht="18" x14ac:dyDescent="0.4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</row>
    <row r="1724" spans="1:43" ht="18" x14ac:dyDescent="0.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</row>
    <row r="1725" spans="1:43" ht="18" x14ac:dyDescent="0.4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</row>
    <row r="1726" spans="1:43" ht="18" x14ac:dyDescent="0.4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</row>
    <row r="1727" spans="1:43" ht="18" x14ac:dyDescent="0.4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</row>
    <row r="1728" spans="1:43" ht="18" x14ac:dyDescent="0.4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</row>
    <row r="1729" spans="1:43" ht="18" x14ac:dyDescent="0.4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</row>
    <row r="1730" spans="1:43" ht="18" x14ac:dyDescent="0.4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</row>
    <row r="1731" spans="1:43" ht="18" x14ac:dyDescent="0.4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</row>
    <row r="1732" spans="1:43" ht="18" x14ac:dyDescent="0.4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</row>
    <row r="1733" spans="1:43" ht="18" x14ac:dyDescent="0.4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</row>
    <row r="1734" spans="1:43" ht="18" x14ac:dyDescent="0.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</row>
    <row r="1735" spans="1:43" ht="18" x14ac:dyDescent="0.4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</row>
    <row r="1736" spans="1:43" ht="18" x14ac:dyDescent="0.4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</row>
    <row r="1737" spans="1:43" ht="18" x14ac:dyDescent="0.4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</row>
    <row r="1738" spans="1:43" ht="18" x14ac:dyDescent="0.4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</row>
    <row r="1739" spans="1:43" ht="18" x14ac:dyDescent="0.4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</row>
    <row r="1740" spans="1:43" ht="18" x14ac:dyDescent="0.4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</row>
    <row r="1741" spans="1:43" ht="18" x14ac:dyDescent="0.4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</row>
    <row r="1742" spans="1:43" ht="18" x14ac:dyDescent="0.4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</row>
    <row r="1743" spans="1:43" ht="18" x14ac:dyDescent="0.4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</row>
    <row r="1744" spans="1:43" ht="18" x14ac:dyDescent="0.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</row>
    <row r="1745" spans="1:43" ht="18" x14ac:dyDescent="0.4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</row>
    <row r="1746" spans="1:43" ht="18" x14ac:dyDescent="0.4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</row>
    <row r="1747" spans="1:43" ht="18" x14ac:dyDescent="0.4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</row>
    <row r="1748" spans="1:43" ht="18" x14ac:dyDescent="0.4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</row>
    <row r="1749" spans="1:43" ht="18" x14ac:dyDescent="0.4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</row>
    <row r="1750" spans="1:43" ht="18" x14ac:dyDescent="0.4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</row>
    <row r="1751" spans="1:43" ht="18" x14ac:dyDescent="0.4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</row>
    <row r="1752" spans="1:43" ht="18" x14ac:dyDescent="0.4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</row>
    <row r="1753" spans="1:43" ht="18" x14ac:dyDescent="0.4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</row>
    <row r="1754" spans="1:43" ht="18" x14ac:dyDescent="0.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0B22-DD27-400A-912E-017101593A8E}">
  <dimension ref="A1:AC2420"/>
  <sheetViews>
    <sheetView topLeftCell="A28" workbookViewId="0">
      <selection activeCell="C180" sqref="C180"/>
    </sheetView>
  </sheetViews>
  <sheetFormatPr defaultRowHeight="14.5" x14ac:dyDescent="0.35"/>
  <cols>
    <col min="1" max="1" width="12.26953125" customWidth="1"/>
    <col min="2" max="2" width="32" customWidth="1"/>
    <col min="4" max="4" width="16.36328125" customWidth="1"/>
    <col min="5" max="5" width="12.1796875" customWidth="1"/>
    <col min="6" max="6" width="34.1796875" customWidth="1"/>
    <col min="8" max="8" width="15.54296875" customWidth="1"/>
  </cols>
  <sheetData>
    <row r="1" spans="1:29" ht="17.5" x14ac:dyDescent="0.35">
      <c r="A1" s="90" t="s">
        <v>132</v>
      </c>
      <c r="B1" s="90"/>
      <c r="C1" s="90"/>
      <c r="D1" s="90"/>
      <c r="E1" s="90"/>
      <c r="F1" s="90"/>
      <c r="G1" s="90"/>
      <c r="H1" s="90"/>
      <c r="I1" s="90"/>
    </row>
    <row r="2" spans="1:29" ht="17.5" x14ac:dyDescent="0.35">
      <c r="A2" s="90" t="s">
        <v>128</v>
      </c>
      <c r="B2" s="90"/>
      <c r="C2" s="90"/>
      <c r="D2" s="90"/>
      <c r="E2" s="90"/>
      <c r="F2" s="90"/>
      <c r="G2" s="90"/>
      <c r="H2" s="90"/>
      <c r="I2" s="90"/>
    </row>
    <row r="3" spans="1:29" ht="18.5" thickBot="1" x14ac:dyDescent="0.45">
      <c r="A3" s="100" t="s">
        <v>205</v>
      </c>
      <c r="B3" s="100"/>
      <c r="C3" s="100"/>
      <c r="D3" s="100"/>
      <c r="E3" s="100"/>
      <c r="F3" s="100"/>
      <c r="G3" s="100"/>
      <c r="H3" s="100"/>
      <c r="I3" s="1"/>
    </row>
    <row r="4" spans="1:29" ht="18.5" thickBot="1" x14ac:dyDescent="0.45">
      <c r="A4" s="14" t="s">
        <v>34</v>
      </c>
      <c r="B4" s="15" t="s">
        <v>35</v>
      </c>
      <c r="C4" s="15" t="s">
        <v>129</v>
      </c>
      <c r="D4" s="15" t="s">
        <v>130</v>
      </c>
      <c r="E4" s="15" t="s">
        <v>34</v>
      </c>
      <c r="F4" s="15" t="s">
        <v>131</v>
      </c>
      <c r="G4" s="15" t="s">
        <v>129</v>
      </c>
      <c r="H4" s="16" t="s">
        <v>130</v>
      </c>
      <c r="I4" s="1"/>
    </row>
    <row r="5" spans="1:29" ht="18" x14ac:dyDescent="0.4">
      <c r="A5" s="19" t="s">
        <v>125</v>
      </c>
      <c r="B5" s="20" t="s">
        <v>134</v>
      </c>
      <c r="C5" s="20"/>
      <c r="D5" s="21">
        <f>D7</f>
        <v>1000000</v>
      </c>
      <c r="E5" s="20" t="s">
        <v>39</v>
      </c>
      <c r="F5" s="20" t="s">
        <v>133</v>
      </c>
      <c r="G5" s="20"/>
      <c r="H5" s="30">
        <v>1000000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8" x14ac:dyDescent="0.4">
      <c r="A6" s="23"/>
      <c r="B6" s="17"/>
      <c r="C6" s="17"/>
      <c r="D6" s="17"/>
      <c r="E6" s="17"/>
      <c r="F6" s="17"/>
      <c r="G6" s="17"/>
      <c r="H6" s="2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8" x14ac:dyDescent="0.4">
      <c r="A7" s="23"/>
      <c r="B7" s="17"/>
      <c r="C7" s="17"/>
      <c r="D7" s="29">
        <f>H7</f>
        <v>1000000</v>
      </c>
      <c r="E7" s="17"/>
      <c r="F7" s="17"/>
      <c r="G7" s="17"/>
      <c r="H7" s="31">
        <f>H5</f>
        <v>1000000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8.5" thickBot="1" x14ac:dyDescent="0.45">
      <c r="A8" s="26"/>
      <c r="B8" s="27"/>
      <c r="C8" s="27"/>
      <c r="D8" s="27"/>
      <c r="E8" s="27" t="s">
        <v>135</v>
      </c>
      <c r="F8" s="27" t="s">
        <v>170</v>
      </c>
      <c r="G8" s="27"/>
      <c r="H8" s="32">
        <f>D5</f>
        <v>1000000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8" x14ac:dyDescent="0.4">
      <c r="A9" s="99" t="s">
        <v>136</v>
      </c>
      <c r="B9" s="99"/>
      <c r="C9" s="99"/>
      <c r="D9" s="99"/>
      <c r="E9" s="99"/>
      <c r="F9" s="99"/>
      <c r="G9" s="99"/>
      <c r="H9" s="9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8.5" thickBot="1" x14ac:dyDescent="0.45">
      <c r="A10" s="100" t="s">
        <v>205</v>
      </c>
      <c r="B10" s="100"/>
      <c r="C10" s="100"/>
      <c r="D10" s="100"/>
      <c r="E10" s="100"/>
      <c r="F10" s="100"/>
      <c r="G10" s="100"/>
      <c r="H10" s="10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8.5" thickBot="1" x14ac:dyDescent="0.45">
      <c r="A11" s="14" t="s">
        <v>34</v>
      </c>
      <c r="B11" s="15" t="s">
        <v>35</v>
      </c>
      <c r="C11" s="15" t="s">
        <v>129</v>
      </c>
      <c r="D11" s="15" t="s">
        <v>130</v>
      </c>
      <c r="E11" s="15" t="s">
        <v>34</v>
      </c>
      <c r="F11" s="15" t="s">
        <v>131</v>
      </c>
      <c r="G11" s="15" t="s">
        <v>129</v>
      </c>
      <c r="H11" s="16" t="s">
        <v>130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8" x14ac:dyDescent="0.4">
      <c r="A12" s="19" t="s">
        <v>39</v>
      </c>
      <c r="B12" s="20" t="s">
        <v>137</v>
      </c>
      <c r="C12" s="20"/>
      <c r="D12" s="21">
        <v>1000000</v>
      </c>
      <c r="E12" s="20" t="s">
        <v>49</v>
      </c>
      <c r="F12" s="20" t="s">
        <v>138</v>
      </c>
      <c r="G12" s="20"/>
      <c r="H12" s="30">
        <v>250000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8" x14ac:dyDescent="0.4">
      <c r="A13" s="23"/>
      <c r="B13" s="17"/>
      <c r="C13" s="17"/>
      <c r="D13" s="17"/>
      <c r="E13" s="17" t="s">
        <v>78</v>
      </c>
      <c r="F13" s="17" t="s">
        <v>139</v>
      </c>
      <c r="G13" s="17"/>
      <c r="H13" s="24">
        <v>24000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8" x14ac:dyDescent="0.4">
      <c r="A14" s="23"/>
      <c r="B14" s="17"/>
      <c r="C14" s="17"/>
      <c r="D14" s="17"/>
      <c r="E14" s="17" t="s">
        <v>85</v>
      </c>
      <c r="F14" s="17" t="s">
        <v>140</v>
      </c>
      <c r="G14" s="17"/>
      <c r="H14" s="24">
        <v>108000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8" x14ac:dyDescent="0.4">
      <c r="A15" s="23"/>
      <c r="B15" s="17"/>
      <c r="C15" s="17"/>
      <c r="D15" s="17"/>
      <c r="E15" s="17" t="s">
        <v>125</v>
      </c>
      <c r="F15" s="17" t="s">
        <v>141</v>
      </c>
      <c r="G15" s="17"/>
      <c r="H15" s="24">
        <v>8000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8" x14ac:dyDescent="0.4">
      <c r="A16" s="23"/>
      <c r="B16" s="17"/>
      <c r="C16" s="17"/>
      <c r="D16" s="17"/>
      <c r="E16" s="17" t="s">
        <v>125</v>
      </c>
      <c r="F16" s="17" t="s">
        <v>169</v>
      </c>
      <c r="G16" s="17"/>
      <c r="H16" s="24">
        <f>SUM(D17)-SUM(H12:H15)</f>
        <v>610000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8" x14ac:dyDescent="0.4">
      <c r="A17" s="23"/>
      <c r="B17" s="17"/>
      <c r="C17" s="17"/>
      <c r="D17" s="29">
        <f>D12</f>
        <v>1000000</v>
      </c>
      <c r="E17" s="17"/>
      <c r="F17" s="17"/>
      <c r="G17" s="17"/>
      <c r="H17" s="31">
        <f>D17</f>
        <v>1000000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8.5" thickBot="1" x14ac:dyDescent="0.45">
      <c r="A18" s="26" t="s">
        <v>135</v>
      </c>
      <c r="B18" s="27" t="s">
        <v>142</v>
      </c>
      <c r="C18" s="27"/>
      <c r="D18" s="33">
        <f>H16</f>
        <v>610000</v>
      </c>
      <c r="E18" s="27"/>
      <c r="F18" s="27"/>
      <c r="G18" s="27"/>
      <c r="H18" s="2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8" x14ac:dyDescent="0.4">
      <c r="A19" s="99" t="s">
        <v>145</v>
      </c>
      <c r="B19" s="99"/>
      <c r="C19" s="99"/>
      <c r="D19" s="99"/>
      <c r="E19" s="99"/>
      <c r="F19" s="99"/>
      <c r="G19" s="99"/>
      <c r="H19" s="9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8.5" thickBot="1" x14ac:dyDescent="0.45">
      <c r="A20" s="100" t="s">
        <v>205</v>
      </c>
      <c r="B20" s="100"/>
      <c r="C20" s="100"/>
      <c r="D20" s="100"/>
      <c r="E20" s="100"/>
      <c r="F20" s="100"/>
      <c r="G20" s="100"/>
      <c r="H20" s="10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8.5" thickBot="1" x14ac:dyDescent="0.45">
      <c r="A21" s="14" t="s">
        <v>34</v>
      </c>
      <c r="B21" s="15" t="s">
        <v>35</v>
      </c>
      <c r="C21" s="15" t="s">
        <v>129</v>
      </c>
      <c r="D21" s="15" t="s">
        <v>130</v>
      </c>
      <c r="E21" s="15" t="s">
        <v>34</v>
      </c>
      <c r="F21" s="15" t="s">
        <v>131</v>
      </c>
      <c r="G21" s="15" t="s">
        <v>129</v>
      </c>
      <c r="H21" s="16" t="s">
        <v>130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8" x14ac:dyDescent="0.4">
      <c r="A22" s="19" t="s">
        <v>45</v>
      </c>
      <c r="B22" s="20" t="s">
        <v>144</v>
      </c>
      <c r="C22" s="20"/>
      <c r="D22" s="21">
        <v>80000</v>
      </c>
      <c r="E22" s="20" t="s">
        <v>125</v>
      </c>
      <c r="F22" s="20" t="s">
        <v>169</v>
      </c>
      <c r="G22" s="20"/>
      <c r="H22" s="30">
        <f>H24</f>
        <v>80000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8" x14ac:dyDescent="0.4">
      <c r="A23" s="23"/>
      <c r="B23" s="17"/>
      <c r="C23" s="17"/>
      <c r="D23" s="17"/>
      <c r="E23" s="17"/>
      <c r="F23" s="17"/>
      <c r="G23" s="17"/>
      <c r="H23" s="2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8" x14ac:dyDescent="0.4">
      <c r="A24" s="23"/>
      <c r="B24" s="17"/>
      <c r="C24" s="17"/>
      <c r="D24" s="29">
        <f>D22</f>
        <v>80000</v>
      </c>
      <c r="E24" s="17"/>
      <c r="F24" s="17"/>
      <c r="G24" s="17"/>
      <c r="H24" s="24">
        <f>D24</f>
        <v>80000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8.5" thickBot="1" x14ac:dyDescent="0.45">
      <c r="A25" s="26" t="s">
        <v>135</v>
      </c>
      <c r="B25" s="27" t="s">
        <v>142</v>
      </c>
      <c r="C25" s="27"/>
      <c r="D25" s="33">
        <f>H22</f>
        <v>80000</v>
      </c>
      <c r="E25" s="27"/>
      <c r="F25" s="27"/>
      <c r="G25" s="27"/>
      <c r="H25" s="2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8" x14ac:dyDescent="0.4">
      <c r="A26" s="99" t="s">
        <v>146</v>
      </c>
      <c r="B26" s="99"/>
      <c r="C26" s="99"/>
      <c r="D26" s="99"/>
      <c r="E26" s="99"/>
      <c r="F26" s="99"/>
      <c r="G26" s="99"/>
      <c r="H26" s="9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8.5" thickBot="1" x14ac:dyDescent="0.45">
      <c r="A27" s="100" t="s">
        <v>205</v>
      </c>
      <c r="B27" s="100"/>
      <c r="C27" s="100"/>
      <c r="D27" s="100"/>
      <c r="E27" s="100"/>
      <c r="F27" s="100"/>
      <c r="G27" s="100"/>
      <c r="H27" s="10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8.5" thickBot="1" x14ac:dyDescent="0.45">
      <c r="A28" s="14" t="s">
        <v>34</v>
      </c>
      <c r="B28" s="15" t="s">
        <v>35</v>
      </c>
      <c r="C28" s="15" t="s">
        <v>129</v>
      </c>
      <c r="D28" s="15" t="s">
        <v>130</v>
      </c>
      <c r="E28" s="15" t="s">
        <v>34</v>
      </c>
      <c r="F28" s="15" t="s">
        <v>131</v>
      </c>
      <c r="G28" s="15" t="s">
        <v>129</v>
      </c>
      <c r="H28" s="16" t="s">
        <v>130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8" x14ac:dyDescent="0.4">
      <c r="A29" s="19" t="s">
        <v>49</v>
      </c>
      <c r="B29" s="20" t="s">
        <v>147</v>
      </c>
      <c r="C29" s="20"/>
      <c r="D29" s="21">
        <v>250000</v>
      </c>
      <c r="E29" s="20" t="s">
        <v>125</v>
      </c>
      <c r="F29" s="20" t="s">
        <v>169</v>
      </c>
      <c r="G29" s="20"/>
      <c r="H29" s="30">
        <f>H31</f>
        <v>250000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8" x14ac:dyDescent="0.4">
      <c r="A30" s="23"/>
      <c r="B30" s="17"/>
      <c r="C30" s="17"/>
      <c r="D30" s="17"/>
      <c r="E30" s="17"/>
      <c r="F30" s="17"/>
      <c r="G30" s="17"/>
      <c r="H30" s="2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8" x14ac:dyDescent="0.4">
      <c r="A31" s="23"/>
      <c r="B31" s="17"/>
      <c r="C31" s="17"/>
      <c r="D31" s="29">
        <f>D29</f>
        <v>250000</v>
      </c>
      <c r="E31" s="17"/>
      <c r="F31" s="17"/>
      <c r="G31" s="17"/>
      <c r="H31" s="31">
        <f>D31</f>
        <v>250000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8.5" thickBot="1" x14ac:dyDescent="0.45">
      <c r="A32" s="26" t="s">
        <v>135</v>
      </c>
      <c r="B32" s="27" t="s">
        <v>142</v>
      </c>
      <c r="C32" s="27"/>
      <c r="D32" s="33">
        <f>H29</f>
        <v>250000</v>
      </c>
      <c r="E32" s="27"/>
      <c r="F32" s="27"/>
      <c r="G32" s="27"/>
      <c r="H32" s="2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8" x14ac:dyDescent="0.4">
      <c r="A33" s="99" t="s">
        <v>148</v>
      </c>
      <c r="B33" s="99"/>
      <c r="C33" s="99"/>
      <c r="D33" s="99"/>
      <c r="E33" s="99"/>
      <c r="F33" s="99"/>
      <c r="G33" s="99"/>
      <c r="H33" s="9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8.5" thickBot="1" x14ac:dyDescent="0.45">
      <c r="A34" s="100" t="s">
        <v>205</v>
      </c>
      <c r="B34" s="100"/>
      <c r="C34" s="100"/>
      <c r="D34" s="100"/>
      <c r="E34" s="100"/>
      <c r="F34" s="100"/>
      <c r="G34" s="100"/>
      <c r="H34" s="10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8.5" thickBot="1" x14ac:dyDescent="0.45">
      <c r="A35" s="14" t="s">
        <v>34</v>
      </c>
      <c r="B35" s="15" t="s">
        <v>35</v>
      </c>
      <c r="C35" s="15" t="s">
        <v>129</v>
      </c>
      <c r="D35" s="15" t="s">
        <v>130</v>
      </c>
      <c r="E35" s="15" t="s">
        <v>34</v>
      </c>
      <c r="F35" s="15" t="s">
        <v>131</v>
      </c>
      <c r="G35" s="15" t="s">
        <v>129</v>
      </c>
      <c r="H35" s="16" t="s">
        <v>130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8" x14ac:dyDescent="0.4">
      <c r="A36" s="19" t="s">
        <v>53</v>
      </c>
      <c r="B36" s="20" t="s">
        <v>149</v>
      </c>
      <c r="C36" s="20"/>
      <c r="D36" s="21">
        <v>120000</v>
      </c>
      <c r="E36" s="20" t="s">
        <v>125</v>
      </c>
      <c r="F36" s="20" t="s">
        <v>169</v>
      </c>
      <c r="G36" s="20"/>
      <c r="H36" s="30">
        <f>D40</f>
        <v>260000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8" x14ac:dyDescent="0.4">
      <c r="A37" s="23" t="s">
        <v>57</v>
      </c>
      <c r="B37" s="17" t="s">
        <v>144</v>
      </c>
      <c r="C37" s="17"/>
      <c r="D37" s="18">
        <v>60000</v>
      </c>
      <c r="E37" s="17"/>
      <c r="F37" s="17"/>
      <c r="G37" s="17"/>
      <c r="H37" s="2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8" x14ac:dyDescent="0.4">
      <c r="A38" s="23" t="s">
        <v>101</v>
      </c>
      <c r="B38" s="17" t="s">
        <v>293</v>
      </c>
      <c r="C38" s="17"/>
      <c r="D38" s="18">
        <v>80000</v>
      </c>
      <c r="E38" s="17"/>
      <c r="F38" s="17"/>
      <c r="G38" s="17"/>
      <c r="H38" s="2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8" x14ac:dyDescent="0.4">
      <c r="A39" s="23"/>
      <c r="B39" s="17"/>
      <c r="C39" s="17"/>
      <c r="D39" s="17"/>
      <c r="E39" s="17"/>
      <c r="F39" s="17"/>
      <c r="G39" s="17"/>
      <c r="H39" s="2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8" x14ac:dyDescent="0.4">
      <c r="A40" s="23"/>
      <c r="B40" s="17"/>
      <c r="C40" s="17"/>
      <c r="D40" s="29">
        <f>SUM(D36:D38)</f>
        <v>260000</v>
      </c>
      <c r="E40" s="17"/>
      <c r="F40" s="17"/>
      <c r="G40" s="17"/>
      <c r="H40" s="31">
        <f>D40</f>
        <v>260000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8.5" thickBot="1" x14ac:dyDescent="0.45">
      <c r="A41" s="26" t="s">
        <v>135</v>
      </c>
      <c r="B41" s="27" t="s">
        <v>142</v>
      </c>
      <c r="C41" s="27"/>
      <c r="D41" s="33">
        <f>H36</f>
        <v>260000</v>
      </c>
      <c r="E41" s="27"/>
      <c r="F41" s="27"/>
      <c r="G41" s="27"/>
      <c r="H41" s="2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8" x14ac:dyDescent="0.4">
      <c r="A42" s="99" t="s">
        <v>150</v>
      </c>
      <c r="B42" s="99"/>
      <c r="C42" s="99"/>
      <c r="D42" s="99"/>
      <c r="E42" s="99"/>
      <c r="F42" s="99"/>
      <c r="G42" s="99"/>
      <c r="H42" s="9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8.5" thickBot="1" x14ac:dyDescent="0.45">
      <c r="A43" s="100" t="s">
        <v>205</v>
      </c>
      <c r="B43" s="100"/>
      <c r="C43" s="100"/>
      <c r="D43" s="100"/>
      <c r="E43" s="100"/>
      <c r="F43" s="100"/>
      <c r="G43" s="100"/>
      <c r="H43" s="100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8.5" thickBot="1" x14ac:dyDescent="0.45">
      <c r="A44" s="14" t="s">
        <v>34</v>
      </c>
      <c r="B44" s="15" t="s">
        <v>35</v>
      </c>
      <c r="C44" s="15" t="s">
        <v>129</v>
      </c>
      <c r="D44" s="15" t="s">
        <v>130</v>
      </c>
      <c r="E44" s="15" t="s">
        <v>34</v>
      </c>
      <c r="F44" s="15" t="s">
        <v>131</v>
      </c>
      <c r="G44" s="15" t="s">
        <v>129</v>
      </c>
      <c r="H44" s="16" t="s">
        <v>130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8" x14ac:dyDescent="0.4">
      <c r="A45" s="19" t="s">
        <v>68</v>
      </c>
      <c r="B45" s="20" t="s">
        <v>152</v>
      </c>
      <c r="C45" s="20"/>
      <c r="D45" s="21">
        <v>10000</v>
      </c>
      <c r="E45" s="20" t="s">
        <v>53</v>
      </c>
      <c r="F45" s="20" t="s">
        <v>151</v>
      </c>
      <c r="G45" s="20"/>
      <c r="H45" s="30">
        <v>120000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8" x14ac:dyDescent="0.4">
      <c r="A46" s="23" t="s">
        <v>85</v>
      </c>
      <c r="B46" s="17" t="s">
        <v>147</v>
      </c>
      <c r="C46" s="17"/>
      <c r="D46" s="18">
        <v>108000</v>
      </c>
      <c r="E46" s="17"/>
      <c r="F46" s="17"/>
      <c r="G46" s="17"/>
      <c r="H46" s="2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8" x14ac:dyDescent="0.4">
      <c r="A47" s="23" t="s">
        <v>85</v>
      </c>
      <c r="B47" s="17" t="s">
        <v>153</v>
      </c>
      <c r="C47" s="17"/>
      <c r="D47" s="18">
        <v>2000</v>
      </c>
      <c r="E47" s="17"/>
      <c r="F47" s="17"/>
      <c r="G47" s="17"/>
      <c r="H47" s="2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8" x14ac:dyDescent="0.4">
      <c r="A48" s="23"/>
      <c r="B48" s="17"/>
      <c r="C48" s="17"/>
      <c r="D48" s="17"/>
      <c r="E48" s="17"/>
      <c r="F48" s="17"/>
      <c r="G48" s="17"/>
      <c r="H48" s="2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8.5" thickBot="1" x14ac:dyDescent="0.45">
      <c r="A49" s="26"/>
      <c r="B49" s="27"/>
      <c r="C49" s="27"/>
      <c r="D49" s="34">
        <f>SUM(D45:D47)</f>
        <v>120000</v>
      </c>
      <c r="E49" s="27"/>
      <c r="F49" s="27"/>
      <c r="G49" s="27"/>
      <c r="H49" s="35">
        <f>H45</f>
        <v>120000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8" x14ac:dyDescent="0.4">
      <c r="A50" s="99" t="s">
        <v>155</v>
      </c>
      <c r="B50" s="99"/>
      <c r="C50" s="99"/>
      <c r="D50" s="99"/>
      <c r="E50" s="99"/>
      <c r="F50" s="99"/>
      <c r="G50" s="99"/>
      <c r="H50" s="9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8.5" thickBot="1" x14ac:dyDescent="0.45">
      <c r="A51" s="100" t="s">
        <v>205</v>
      </c>
      <c r="B51" s="100"/>
      <c r="C51" s="100"/>
      <c r="D51" s="100"/>
      <c r="E51" s="100"/>
      <c r="F51" s="100"/>
      <c r="G51" s="100"/>
      <c r="H51" s="10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8.5" thickBot="1" x14ac:dyDescent="0.45">
      <c r="A52" s="14" t="s">
        <v>34</v>
      </c>
      <c r="B52" s="15" t="s">
        <v>35</v>
      </c>
      <c r="C52" s="15" t="s">
        <v>129</v>
      </c>
      <c r="D52" s="15" t="s">
        <v>130</v>
      </c>
      <c r="E52" s="15" t="s">
        <v>34</v>
      </c>
      <c r="F52" s="15" t="s">
        <v>131</v>
      </c>
      <c r="G52" s="15" t="s">
        <v>129</v>
      </c>
      <c r="H52" s="16" t="s">
        <v>130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8" x14ac:dyDescent="0.4">
      <c r="A53" s="19" t="s">
        <v>62</v>
      </c>
      <c r="B53" s="20" t="s">
        <v>157</v>
      </c>
      <c r="C53" s="20"/>
      <c r="D53" s="21">
        <v>90000</v>
      </c>
      <c r="E53" s="20" t="s">
        <v>45</v>
      </c>
      <c r="F53" s="37" t="s">
        <v>171</v>
      </c>
      <c r="G53" s="38"/>
      <c r="H53" s="39">
        <v>80000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8" x14ac:dyDescent="0.4">
      <c r="A54" s="23" t="s">
        <v>82</v>
      </c>
      <c r="B54" s="17" t="s">
        <v>159</v>
      </c>
      <c r="C54" s="17"/>
      <c r="D54" s="18">
        <v>130000</v>
      </c>
      <c r="E54" s="17" t="s">
        <v>57</v>
      </c>
      <c r="F54" s="17" t="s">
        <v>151</v>
      </c>
      <c r="G54" s="17"/>
      <c r="H54" s="24">
        <v>60000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8" x14ac:dyDescent="0.4">
      <c r="A55" s="23" t="s">
        <v>95</v>
      </c>
      <c r="B55" s="17" t="s">
        <v>162</v>
      </c>
      <c r="C55" s="17"/>
      <c r="D55" s="18">
        <v>8000</v>
      </c>
      <c r="E55" s="17" t="s">
        <v>59</v>
      </c>
      <c r="F55" s="17" t="s">
        <v>156</v>
      </c>
      <c r="G55" s="17"/>
      <c r="H55" s="24">
        <v>5000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8" x14ac:dyDescent="0.4">
      <c r="A56" s="23" t="s">
        <v>110</v>
      </c>
      <c r="B56" s="17" t="s">
        <v>164</v>
      </c>
      <c r="C56" s="17"/>
      <c r="D56" s="18">
        <v>105000</v>
      </c>
      <c r="E56" s="17" t="s">
        <v>75</v>
      </c>
      <c r="F56" s="17" t="s">
        <v>158</v>
      </c>
      <c r="G56" s="17"/>
      <c r="H56" s="24">
        <v>30000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8" x14ac:dyDescent="0.4">
      <c r="A57" s="23" t="s">
        <v>116</v>
      </c>
      <c r="B57" s="17" t="s">
        <v>167</v>
      </c>
      <c r="C57" s="17"/>
      <c r="D57" s="18">
        <v>6000</v>
      </c>
      <c r="E57" s="17" t="s">
        <v>89</v>
      </c>
      <c r="F57" s="17" t="s">
        <v>160</v>
      </c>
      <c r="G57" s="17"/>
      <c r="H57" s="24">
        <v>50000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8" x14ac:dyDescent="0.4">
      <c r="A58" s="40"/>
      <c r="B58" s="36"/>
      <c r="C58" s="36"/>
      <c r="D58" s="36"/>
      <c r="E58" s="17" t="s">
        <v>92</v>
      </c>
      <c r="F58" s="17" t="s">
        <v>161</v>
      </c>
      <c r="G58" s="17"/>
      <c r="H58" s="24">
        <v>12000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8" x14ac:dyDescent="0.4">
      <c r="A59" s="23"/>
      <c r="B59" s="17"/>
      <c r="C59" s="17"/>
      <c r="D59" s="17"/>
      <c r="E59" s="17" t="s">
        <v>98</v>
      </c>
      <c r="F59" s="17" t="s">
        <v>163</v>
      </c>
      <c r="G59" s="17"/>
      <c r="H59" s="24">
        <v>9000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8" x14ac:dyDescent="0.4">
      <c r="A60" s="23"/>
      <c r="B60" s="17"/>
      <c r="C60" s="17"/>
      <c r="D60" s="17"/>
      <c r="E60" s="17" t="s">
        <v>109</v>
      </c>
      <c r="F60" s="17" t="s">
        <v>165</v>
      </c>
      <c r="G60" s="17"/>
      <c r="H60" s="24">
        <v>20000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8" x14ac:dyDescent="0.4">
      <c r="A61" s="23"/>
      <c r="B61" s="17"/>
      <c r="C61" s="17"/>
      <c r="D61" s="17"/>
      <c r="E61" s="17" t="s">
        <v>113</v>
      </c>
      <c r="F61" s="17" t="s">
        <v>166</v>
      </c>
      <c r="G61" s="17"/>
      <c r="H61" s="24">
        <v>15000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8" x14ac:dyDescent="0.4">
      <c r="A62" s="23"/>
      <c r="B62" s="17"/>
      <c r="C62" s="17"/>
      <c r="D62" s="17"/>
      <c r="E62" s="17" t="s">
        <v>119</v>
      </c>
      <c r="F62" s="17" t="s">
        <v>294</v>
      </c>
      <c r="G62" s="17"/>
      <c r="H62" s="24">
        <v>10000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8" x14ac:dyDescent="0.4">
      <c r="A63" s="23"/>
      <c r="B63" s="17"/>
      <c r="C63" s="17"/>
      <c r="D63" s="17"/>
      <c r="E63" s="17" t="s">
        <v>122</v>
      </c>
      <c r="F63" s="17" t="s">
        <v>168</v>
      </c>
      <c r="G63" s="17"/>
      <c r="H63" s="24">
        <v>4000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8" x14ac:dyDescent="0.4">
      <c r="A64" s="23"/>
      <c r="B64" s="17"/>
      <c r="C64" s="17"/>
      <c r="D64" s="17"/>
      <c r="E64" s="17" t="s">
        <v>125</v>
      </c>
      <c r="F64" s="17" t="s">
        <v>169</v>
      </c>
      <c r="G64" s="17"/>
      <c r="H64" s="24">
        <f>SUM(D65)-SUM(H53:H63)</f>
        <v>44000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8" x14ac:dyDescent="0.4">
      <c r="A65" s="23"/>
      <c r="B65" s="17"/>
      <c r="C65" s="17"/>
      <c r="D65" s="29">
        <f>SUM(D53:D57)</f>
        <v>339000</v>
      </c>
      <c r="E65" s="17"/>
      <c r="F65" s="17"/>
      <c r="G65" s="17"/>
      <c r="H65" s="31">
        <f>D65</f>
        <v>339000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8.5" thickBot="1" x14ac:dyDescent="0.45">
      <c r="A66" s="26" t="s">
        <v>135</v>
      </c>
      <c r="B66" s="27" t="s">
        <v>142</v>
      </c>
      <c r="C66" s="27"/>
      <c r="D66" s="33">
        <f>H64</f>
        <v>44000</v>
      </c>
      <c r="E66" s="27"/>
      <c r="F66" s="27"/>
      <c r="G66" s="27"/>
      <c r="H66" s="2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8" x14ac:dyDescent="0.4">
      <c r="A67" s="99" t="s">
        <v>172</v>
      </c>
      <c r="B67" s="99"/>
      <c r="C67" s="99"/>
      <c r="D67" s="99"/>
      <c r="E67" s="99"/>
      <c r="F67" s="99"/>
      <c r="G67" s="99"/>
      <c r="H67" s="9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8.5" thickBot="1" x14ac:dyDescent="0.45">
      <c r="A68" s="100" t="s">
        <v>205</v>
      </c>
      <c r="B68" s="100"/>
      <c r="C68" s="100"/>
      <c r="D68" s="100"/>
      <c r="E68" s="100"/>
      <c r="F68" s="100"/>
      <c r="G68" s="100"/>
      <c r="H68" s="10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8.5" thickBot="1" x14ac:dyDescent="0.45">
      <c r="A69" s="14" t="s">
        <v>34</v>
      </c>
      <c r="B69" s="15" t="s">
        <v>35</v>
      </c>
      <c r="C69" s="15" t="s">
        <v>129</v>
      </c>
      <c r="D69" s="15" t="s">
        <v>130</v>
      </c>
      <c r="E69" s="15" t="s">
        <v>34</v>
      </c>
      <c r="F69" s="15" t="s">
        <v>131</v>
      </c>
      <c r="G69" s="15" t="s">
        <v>129</v>
      </c>
      <c r="H69" s="16" t="s">
        <v>130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8" x14ac:dyDescent="0.4">
      <c r="A70" s="19" t="s">
        <v>59</v>
      </c>
      <c r="B70" s="20" t="s">
        <v>144</v>
      </c>
      <c r="C70" s="20"/>
      <c r="D70" s="21">
        <v>5000</v>
      </c>
      <c r="E70" s="20" t="s">
        <v>125</v>
      </c>
      <c r="F70" s="20" t="s">
        <v>169</v>
      </c>
      <c r="G70" s="20"/>
      <c r="H70" s="30">
        <f>H72</f>
        <v>5000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8" x14ac:dyDescent="0.4">
      <c r="A71" s="23"/>
      <c r="B71" s="17"/>
      <c r="C71" s="17"/>
      <c r="D71" s="17"/>
      <c r="E71" s="17"/>
      <c r="F71" s="17"/>
      <c r="G71" s="17"/>
      <c r="H71" s="2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8" x14ac:dyDescent="0.4">
      <c r="A72" s="23"/>
      <c r="B72" s="17"/>
      <c r="C72" s="17"/>
      <c r="D72" s="29">
        <f>D70</f>
        <v>5000</v>
      </c>
      <c r="E72" s="17"/>
      <c r="F72" s="17"/>
      <c r="G72" s="17"/>
      <c r="H72" s="31">
        <f>D72</f>
        <v>5000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8.5" thickBot="1" x14ac:dyDescent="0.45">
      <c r="A73" s="26" t="s">
        <v>135</v>
      </c>
      <c r="B73" s="27" t="s">
        <v>142</v>
      </c>
      <c r="C73" s="27"/>
      <c r="D73" s="33">
        <f>H70</f>
        <v>5000</v>
      </c>
      <c r="E73" s="27"/>
      <c r="F73" s="27"/>
      <c r="G73" s="27"/>
      <c r="H73" s="2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8" x14ac:dyDescent="0.4">
      <c r="A74" s="99" t="s">
        <v>173</v>
      </c>
      <c r="B74" s="99"/>
      <c r="C74" s="99"/>
      <c r="D74" s="99"/>
      <c r="E74" s="99"/>
      <c r="F74" s="99"/>
      <c r="G74" s="99"/>
      <c r="H74" s="9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8.5" thickBot="1" x14ac:dyDescent="0.45">
      <c r="A75" s="100" t="s">
        <v>205</v>
      </c>
      <c r="B75" s="100"/>
      <c r="C75" s="100"/>
      <c r="D75" s="100"/>
      <c r="E75" s="100"/>
      <c r="F75" s="100"/>
      <c r="G75" s="100"/>
      <c r="H75" s="100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8.5" thickBot="1" x14ac:dyDescent="0.45">
      <c r="A76" s="14" t="s">
        <v>34</v>
      </c>
      <c r="B76" s="15" t="s">
        <v>35</v>
      </c>
      <c r="C76" s="15" t="s">
        <v>129</v>
      </c>
      <c r="D76" s="15" t="s">
        <v>130</v>
      </c>
      <c r="E76" s="15" t="s">
        <v>34</v>
      </c>
      <c r="F76" s="15" t="s">
        <v>131</v>
      </c>
      <c r="G76" s="15" t="s">
        <v>129</v>
      </c>
      <c r="H76" s="16" t="s">
        <v>130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8" x14ac:dyDescent="0.4">
      <c r="A77" s="19" t="s">
        <v>125</v>
      </c>
      <c r="B77" s="20" t="s">
        <v>134</v>
      </c>
      <c r="C77" s="20"/>
      <c r="D77" s="21">
        <f>D81</f>
        <v>350000</v>
      </c>
      <c r="E77" s="20" t="s">
        <v>62</v>
      </c>
      <c r="F77" s="20" t="s">
        <v>174</v>
      </c>
      <c r="G77" s="20"/>
      <c r="H77" s="30">
        <v>90000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8" x14ac:dyDescent="0.4">
      <c r="A78" s="23"/>
      <c r="B78" s="17"/>
      <c r="C78" s="17"/>
      <c r="D78" s="17"/>
      <c r="E78" s="17" t="s">
        <v>66</v>
      </c>
      <c r="F78" s="17" t="s">
        <v>175</v>
      </c>
      <c r="G78" s="17"/>
      <c r="H78" s="24">
        <v>150000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8" x14ac:dyDescent="0.4">
      <c r="A79" s="23"/>
      <c r="B79" s="17"/>
      <c r="C79" s="17"/>
      <c r="D79" s="17"/>
      <c r="E79" s="17" t="s">
        <v>104</v>
      </c>
      <c r="F79" s="17" t="s">
        <v>176</v>
      </c>
      <c r="G79" s="17"/>
      <c r="H79" s="24">
        <v>110000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8" x14ac:dyDescent="0.4">
      <c r="A80" s="23"/>
      <c r="B80" s="17"/>
      <c r="C80" s="17"/>
      <c r="D80" s="17"/>
      <c r="E80" s="17"/>
      <c r="F80" s="17"/>
      <c r="G80" s="17"/>
      <c r="H80" s="2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8" x14ac:dyDescent="0.4">
      <c r="A81" s="23"/>
      <c r="B81" s="17"/>
      <c r="C81" s="17"/>
      <c r="D81" s="29">
        <f>H81</f>
        <v>350000</v>
      </c>
      <c r="E81" s="17"/>
      <c r="F81" s="17"/>
      <c r="G81" s="17"/>
      <c r="H81" s="31">
        <f>SUM(H77:H79)</f>
        <v>350000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8.5" thickBot="1" x14ac:dyDescent="0.45">
      <c r="A82" s="26"/>
      <c r="B82" s="27"/>
      <c r="C82" s="27"/>
      <c r="D82" s="27"/>
      <c r="E82" s="27" t="s">
        <v>135</v>
      </c>
      <c r="F82" s="27" t="s">
        <v>170</v>
      </c>
      <c r="G82" s="27"/>
      <c r="H82" s="32">
        <f>D77</f>
        <v>350000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8" x14ac:dyDescent="0.4">
      <c r="A83" s="99" t="s">
        <v>177</v>
      </c>
      <c r="B83" s="99"/>
      <c r="C83" s="99"/>
      <c r="D83" s="99"/>
      <c r="E83" s="99"/>
      <c r="F83" s="99"/>
      <c r="G83" s="99"/>
      <c r="H83" s="9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8.5" thickBot="1" x14ac:dyDescent="0.45">
      <c r="A84" s="100" t="s">
        <v>205</v>
      </c>
      <c r="B84" s="100"/>
      <c r="C84" s="100"/>
      <c r="D84" s="100"/>
      <c r="E84" s="100"/>
      <c r="F84" s="100"/>
      <c r="G84" s="100"/>
      <c r="H84" s="100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8.5" thickBot="1" x14ac:dyDescent="0.45">
      <c r="A85" s="14" t="s">
        <v>34</v>
      </c>
      <c r="B85" s="15" t="s">
        <v>35</v>
      </c>
      <c r="C85" s="15" t="s">
        <v>129</v>
      </c>
      <c r="D85" s="15" t="s">
        <v>130</v>
      </c>
      <c r="E85" s="15" t="s">
        <v>34</v>
      </c>
      <c r="F85" s="15" t="s">
        <v>131</v>
      </c>
      <c r="G85" s="15" t="s">
        <v>129</v>
      </c>
      <c r="H85" s="16" t="s">
        <v>130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8" x14ac:dyDescent="0.4">
      <c r="A86" s="19" t="s">
        <v>66</v>
      </c>
      <c r="B86" s="20" t="s">
        <v>157</v>
      </c>
      <c r="C86" s="20"/>
      <c r="D86" s="21">
        <v>150000</v>
      </c>
      <c r="E86" s="20" t="s">
        <v>71</v>
      </c>
      <c r="F86" s="20" t="s">
        <v>178</v>
      </c>
      <c r="G86" s="20"/>
      <c r="H86" s="30">
        <v>15000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8" x14ac:dyDescent="0.4">
      <c r="A87" s="23"/>
      <c r="B87" s="17"/>
      <c r="C87" s="17"/>
      <c r="D87" s="17"/>
      <c r="E87" s="17" t="s">
        <v>82</v>
      </c>
      <c r="F87" s="17" t="s">
        <v>174</v>
      </c>
      <c r="G87" s="17"/>
      <c r="H87" s="24">
        <v>130000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8" x14ac:dyDescent="0.4">
      <c r="A88" s="23"/>
      <c r="B88" s="17"/>
      <c r="C88" s="17"/>
      <c r="D88" s="17"/>
      <c r="E88" s="17" t="s">
        <v>82</v>
      </c>
      <c r="F88" s="17" t="s">
        <v>179</v>
      </c>
      <c r="G88" s="17"/>
      <c r="H88" s="24">
        <v>5000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8" x14ac:dyDescent="0.4">
      <c r="A89" s="23"/>
      <c r="B89" s="17"/>
      <c r="C89" s="17"/>
      <c r="D89" s="17"/>
      <c r="E89" s="17"/>
      <c r="F89" s="17"/>
      <c r="G89" s="17"/>
      <c r="H89" s="2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8.5" thickBot="1" x14ac:dyDescent="0.45">
      <c r="A90" s="26"/>
      <c r="B90" s="27"/>
      <c r="C90" s="27"/>
      <c r="D90" s="34">
        <f>D86</f>
        <v>150000</v>
      </c>
      <c r="E90" s="27"/>
      <c r="F90" s="27"/>
      <c r="G90" s="27"/>
      <c r="H90" s="35">
        <f>SUM(H86:H88)</f>
        <v>150000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8" x14ac:dyDescent="0.4">
      <c r="A91" s="99" t="s">
        <v>150</v>
      </c>
      <c r="B91" s="99"/>
      <c r="C91" s="99"/>
      <c r="D91" s="99"/>
      <c r="E91" s="99"/>
      <c r="F91" s="99"/>
      <c r="G91" s="99"/>
      <c r="H91" s="9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8.5" thickBot="1" x14ac:dyDescent="0.45">
      <c r="A92" s="100" t="s">
        <v>205</v>
      </c>
      <c r="B92" s="100"/>
      <c r="C92" s="100"/>
      <c r="D92" s="100"/>
      <c r="E92" s="100"/>
      <c r="F92" s="100"/>
      <c r="G92" s="100"/>
      <c r="H92" s="100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8.5" thickBot="1" x14ac:dyDescent="0.45">
      <c r="A93" s="14" t="s">
        <v>34</v>
      </c>
      <c r="B93" s="15" t="s">
        <v>35</v>
      </c>
      <c r="C93" s="15" t="s">
        <v>129</v>
      </c>
      <c r="D93" s="15" t="s">
        <v>130</v>
      </c>
      <c r="E93" s="15" t="s">
        <v>34</v>
      </c>
      <c r="F93" s="15" t="s">
        <v>131</v>
      </c>
      <c r="G93" s="15" t="s">
        <v>129</v>
      </c>
      <c r="H93" s="16" t="s">
        <v>130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8" x14ac:dyDescent="0.4">
      <c r="A94" s="19" t="s">
        <v>68</v>
      </c>
      <c r="B94" s="20" t="s">
        <v>152</v>
      </c>
      <c r="C94" s="20"/>
      <c r="D94" s="21">
        <v>10000</v>
      </c>
      <c r="E94" s="20" t="s">
        <v>53</v>
      </c>
      <c r="F94" s="20" t="s">
        <v>151</v>
      </c>
      <c r="G94" s="20"/>
      <c r="H94" s="30">
        <v>120000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8" x14ac:dyDescent="0.4">
      <c r="A95" s="23" t="s">
        <v>85</v>
      </c>
      <c r="B95" s="17" t="s">
        <v>147</v>
      </c>
      <c r="C95" s="17"/>
      <c r="D95" s="18">
        <v>108000</v>
      </c>
      <c r="E95" s="17"/>
      <c r="F95" s="17"/>
      <c r="G95" s="17"/>
      <c r="H95" s="2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8" x14ac:dyDescent="0.4">
      <c r="A96" s="23" t="s">
        <v>85</v>
      </c>
      <c r="B96" s="17" t="s">
        <v>153</v>
      </c>
      <c r="C96" s="17"/>
      <c r="D96" s="18">
        <v>2000</v>
      </c>
      <c r="E96" s="17"/>
      <c r="F96" s="17"/>
      <c r="G96" s="17"/>
      <c r="H96" s="2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8" x14ac:dyDescent="0.4">
      <c r="A97" s="23"/>
      <c r="B97" s="17"/>
      <c r="C97" s="17"/>
      <c r="D97" s="17"/>
      <c r="E97" s="17"/>
      <c r="F97" s="17"/>
      <c r="G97" s="17"/>
      <c r="H97" s="2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8.5" thickBot="1" x14ac:dyDescent="0.45">
      <c r="A98" s="26"/>
      <c r="B98" s="27"/>
      <c r="C98" s="27"/>
      <c r="D98" s="34">
        <f>SUM(D94:D96)</f>
        <v>120000</v>
      </c>
      <c r="E98" s="27"/>
      <c r="F98" s="27"/>
      <c r="G98" s="27"/>
      <c r="H98" s="35">
        <f>H94</f>
        <v>120000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8" x14ac:dyDescent="0.4">
      <c r="A99" s="99" t="s">
        <v>180</v>
      </c>
      <c r="B99" s="99"/>
      <c r="C99" s="99"/>
      <c r="D99" s="99"/>
      <c r="E99" s="99"/>
      <c r="F99" s="99"/>
      <c r="G99" s="99"/>
      <c r="H99" s="9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8.5" thickBot="1" x14ac:dyDescent="0.45">
      <c r="A100" s="100" t="s">
        <v>205</v>
      </c>
      <c r="B100" s="100"/>
      <c r="C100" s="100"/>
      <c r="D100" s="100"/>
      <c r="E100" s="100"/>
      <c r="F100" s="100"/>
      <c r="G100" s="100"/>
      <c r="H100" s="10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8.5" thickBot="1" x14ac:dyDescent="0.45">
      <c r="A101" s="14" t="s">
        <v>34</v>
      </c>
      <c r="B101" s="15" t="s">
        <v>35</v>
      </c>
      <c r="C101" s="15" t="s">
        <v>129</v>
      </c>
      <c r="D101" s="15" t="s">
        <v>130</v>
      </c>
      <c r="E101" s="15" t="s">
        <v>34</v>
      </c>
      <c r="F101" s="15" t="s">
        <v>131</v>
      </c>
      <c r="G101" s="15" t="s">
        <v>129</v>
      </c>
      <c r="H101" s="16" t="s">
        <v>130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8" x14ac:dyDescent="0.4">
      <c r="A102" s="19" t="s">
        <v>125</v>
      </c>
      <c r="B102" s="20" t="s">
        <v>134</v>
      </c>
      <c r="C102" s="20"/>
      <c r="D102" s="21">
        <f>D104</f>
        <v>10000</v>
      </c>
      <c r="E102" s="20" t="s">
        <v>68</v>
      </c>
      <c r="F102" s="20" t="s">
        <v>140</v>
      </c>
      <c r="G102" s="20"/>
      <c r="H102" s="30">
        <v>10000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8" x14ac:dyDescent="0.4">
      <c r="A103" s="23"/>
      <c r="B103" s="17"/>
      <c r="C103" s="17"/>
      <c r="D103" s="17"/>
      <c r="E103" s="17"/>
      <c r="F103" s="17"/>
      <c r="G103" s="17"/>
      <c r="H103" s="2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8" x14ac:dyDescent="0.4">
      <c r="A104" s="23"/>
      <c r="B104" s="17"/>
      <c r="C104" s="17"/>
      <c r="D104" s="29">
        <f>H104</f>
        <v>10000</v>
      </c>
      <c r="E104" s="17"/>
      <c r="F104" s="17"/>
      <c r="G104" s="17"/>
      <c r="H104" s="31">
        <f>H102</f>
        <v>10000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8.5" thickBot="1" x14ac:dyDescent="0.45">
      <c r="A105" s="26"/>
      <c r="B105" s="27"/>
      <c r="C105" s="27"/>
      <c r="D105" s="27"/>
      <c r="E105" s="27" t="s">
        <v>135</v>
      </c>
      <c r="F105" s="27" t="s">
        <v>170</v>
      </c>
      <c r="G105" s="27"/>
      <c r="H105" s="32">
        <f>D102</f>
        <v>10000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8" x14ac:dyDescent="0.4">
      <c r="A106" s="99" t="s">
        <v>181</v>
      </c>
      <c r="B106" s="99"/>
      <c r="C106" s="99"/>
      <c r="D106" s="99"/>
      <c r="E106" s="99"/>
      <c r="F106" s="99"/>
      <c r="G106" s="99"/>
      <c r="H106" s="9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8.5" thickBot="1" x14ac:dyDescent="0.45">
      <c r="A107" s="100" t="s">
        <v>205</v>
      </c>
      <c r="B107" s="100"/>
      <c r="C107" s="100"/>
      <c r="D107" s="100"/>
      <c r="E107" s="100"/>
      <c r="F107" s="100"/>
      <c r="G107" s="100"/>
      <c r="H107" s="10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8.5" thickBot="1" x14ac:dyDescent="0.45">
      <c r="A108" s="14" t="s">
        <v>34</v>
      </c>
      <c r="B108" s="15" t="s">
        <v>35</v>
      </c>
      <c r="C108" s="15" t="s">
        <v>129</v>
      </c>
      <c r="D108" s="15" t="s">
        <v>130</v>
      </c>
      <c r="E108" s="15" t="s">
        <v>34</v>
      </c>
      <c r="F108" s="15" t="s">
        <v>131</v>
      </c>
      <c r="G108" s="15" t="s">
        <v>129</v>
      </c>
      <c r="H108" s="16" t="s">
        <v>130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8" x14ac:dyDescent="0.4">
      <c r="A109" s="19" t="s">
        <v>71</v>
      </c>
      <c r="B109" s="20" t="s">
        <v>159</v>
      </c>
      <c r="C109" s="20"/>
      <c r="D109" s="21">
        <v>15000</v>
      </c>
      <c r="E109" s="20" t="s">
        <v>125</v>
      </c>
      <c r="F109" s="20" t="s">
        <v>169</v>
      </c>
      <c r="G109" s="20"/>
      <c r="H109" s="30">
        <f>H111</f>
        <v>15000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8" x14ac:dyDescent="0.4">
      <c r="A110" s="23"/>
      <c r="B110" s="17"/>
      <c r="C110" s="17"/>
      <c r="D110" s="17"/>
      <c r="E110" s="17"/>
      <c r="F110" s="17"/>
      <c r="G110" s="17"/>
      <c r="H110" s="2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8" x14ac:dyDescent="0.4">
      <c r="A111" s="23"/>
      <c r="B111" s="17"/>
      <c r="C111" s="17"/>
      <c r="D111" s="29">
        <f>D109</f>
        <v>15000</v>
      </c>
      <c r="E111" s="17"/>
      <c r="F111" s="17"/>
      <c r="G111" s="17"/>
      <c r="H111" s="31">
        <f>D111</f>
        <v>15000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8.5" thickBot="1" x14ac:dyDescent="0.45">
      <c r="A112" s="26" t="s">
        <v>135</v>
      </c>
      <c r="B112" s="27" t="s">
        <v>142</v>
      </c>
      <c r="C112" s="27"/>
      <c r="D112" s="33">
        <f>H109</f>
        <v>15000</v>
      </c>
      <c r="E112" s="27"/>
      <c r="F112" s="27"/>
      <c r="G112" s="27"/>
      <c r="H112" s="2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8" x14ac:dyDescent="0.4">
      <c r="A113" s="99" t="s">
        <v>182</v>
      </c>
      <c r="B113" s="99"/>
      <c r="C113" s="99"/>
      <c r="D113" s="99"/>
      <c r="E113" s="99"/>
      <c r="F113" s="99"/>
      <c r="G113" s="99"/>
      <c r="H113" s="9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8.5" thickBot="1" x14ac:dyDescent="0.45">
      <c r="A114" s="100" t="s">
        <v>205</v>
      </c>
      <c r="B114" s="100"/>
      <c r="C114" s="100"/>
      <c r="D114" s="100"/>
      <c r="E114" s="100"/>
      <c r="F114" s="100"/>
      <c r="G114" s="100"/>
      <c r="H114" s="100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8.5" thickBot="1" x14ac:dyDescent="0.45">
      <c r="A115" s="14" t="s">
        <v>34</v>
      </c>
      <c r="B115" s="15" t="s">
        <v>35</v>
      </c>
      <c r="C115" s="15" t="s">
        <v>129</v>
      </c>
      <c r="D115" s="15" t="s">
        <v>130</v>
      </c>
      <c r="E115" s="15" t="s">
        <v>34</v>
      </c>
      <c r="F115" s="15" t="s">
        <v>131</v>
      </c>
      <c r="G115" s="15" t="s">
        <v>129</v>
      </c>
      <c r="H115" s="16" t="s">
        <v>130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8" x14ac:dyDescent="0.4">
      <c r="A116" s="19" t="s">
        <v>75</v>
      </c>
      <c r="B116" s="20" t="s">
        <v>144</v>
      </c>
      <c r="C116" s="20"/>
      <c r="D116" s="21">
        <v>30000</v>
      </c>
      <c r="E116" s="20" t="s">
        <v>125</v>
      </c>
      <c r="F116" s="20" t="s">
        <v>169</v>
      </c>
      <c r="G116" s="20"/>
      <c r="H116" s="30">
        <f>H118</f>
        <v>30000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8" x14ac:dyDescent="0.4">
      <c r="A117" s="23"/>
      <c r="B117" s="17"/>
      <c r="C117" s="17"/>
      <c r="D117" s="17"/>
      <c r="E117" s="17"/>
      <c r="F117" s="17"/>
      <c r="G117" s="17"/>
      <c r="H117" s="2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8" x14ac:dyDescent="0.4">
      <c r="A118" s="23"/>
      <c r="B118" s="17"/>
      <c r="C118" s="17"/>
      <c r="D118" s="29">
        <f>D116</f>
        <v>30000</v>
      </c>
      <c r="E118" s="17"/>
      <c r="F118" s="17"/>
      <c r="G118" s="17"/>
      <c r="H118" s="31">
        <f>D118</f>
        <v>30000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8.5" thickBot="1" x14ac:dyDescent="0.45">
      <c r="A119" s="26" t="s">
        <v>135</v>
      </c>
      <c r="B119" s="27" t="s">
        <v>142</v>
      </c>
      <c r="C119" s="27"/>
      <c r="D119" s="33">
        <f>H116</f>
        <v>30000</v>
      </c>
      <c r="E119" s="27"/>
      <c r="F119" s="27"/>
      <c r="G119" s="27"/>
      <c r="H119" s="2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8" x14ac:dyDescent="0.4">
      <c r="A120" s="99" t="s">
        <v>183</v>
      </c>
      <c r="B120" s="99"/>
      <c r="C120" s="99"/>
      <c r="D120" s="99"/>
      <c r="E120" s="99"/>
      <c r="F120" s="99"/>
      <c r="G120" s="99"/>
      <c r="H120" s="9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8.5" thickBot="1" x14ac:dyDescent="0.45">
      <c r="A121" s="100" t="s">
        <v>205</v>
      </c>
      <c r="B121" s="100"/>
      <c r="C121" s="100"/>
      <c r="D121" s="100"/>
      <c r="E121" s="100"/>
      <c r="F121" s="100"/>
      <c r="G121" s="100"/>
      <c r="H121" s="10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8.5" thickBot="1" x14ac:dyDescent="0.45">
      <c r="A122" s="52" t="s">
        <v>34</v>
      </c>
      <c r="B122" s="47" t="s">
        <v>35</v>
      </c>
      <c r="C122" s="47" t="s">
        <v>129</v>
      </c>
      <c r="D122" s="47" t="s">
        <v>130</v>
      </c>
      <c r="E122" s="47" t="s">
        <v>34</v>
      </c>
      <c r="F122" s="47" t="s">
        <v>131</v>
      </c>
      <c r="G122" s="47" t="s">
        <v>129</v>
      </c>
      <c r="H122" s="48" t="s">
        <v>130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8" x14ac:dyDescent="0.4">
      <c r="A123" s="43" t="s">
        <v>78</v>
      </c>
      <c r="B123" s="49" t="s">
        <v>147</v>
      </c>
      <c r="C123" s="49"/>
      <c r="D123" s="50">
        <v>24000</v>
      </c>
      <c r="E123" s="49" t="s">
        <v>125</v>
      </c>
      <c r="F123" s="49" t="s">
        <v>169</v>
      </c>
      <c r="G123" s="49"/>
      <c r="H123" s="51">
        <f>H125</f>
        <v>24000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8" x14ac:dyDescent="0.4">
      <c r="A124" s="23"/>
      <c r="B124" s="17"/>
      <c r="C124" s="17"/>
      <c r="D124" s="17"/>
      <c r="E124" s="17"/>
      <c r="F124" s="17"/>
      <c r="G124" s="17"/>
      <c r="H124" s="2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8" x14ac:dyDescent="0.4">
      <c r="A125" s="23"/>
      <c r="B125" s="17"/>
      <c r="C125" s="17"/>
      <c r="D125" s="29">
        <f>D123</f>
        <v>24000</v>
      </c>
      <c r="E125" s="17"/>
      <c r="F125" s="17"/>
      <c r="G125" s="17"/>
      <c r="H125" s="31">
        <f>D125</f>
        <v>24000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8.5" thickBot="1" x14ac:dyDescent="0.45">
      <c r="A126" s="26" t="s">
        <v>135</v>
      </c>
      <c r="B126" s="27" t="s">
        <v>142</v>
      </c>
      <c r="C126" s="27"/>
      <c r="D126" s="33">
        <f>H123</f>
        <v>24000</v>
      </c>
      <c r="E126" s="27"/>
      <c r="F126" s="27"/>
      <c r="G126" s="27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8" x14ac:dyDescent="0.4">
      <c r="A127" s="99" t="s">
        <v>184</v>
      </c>
      <c r="B127" s="99"/>
      <c r="C127" s="99"/>
      <c r="D127" s="99"/>
      <c r="E127" s="99"/>
      <c r="F127" s="99"/>
      <c r="G127" s="99"/>
      <c r="H127" s="9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8.5" thickBot="1" x14ac:dyDescent="0.45">
      <c r="A128" s="100" t="s">
        <v>205</v>
      </c>
      <c r="B128" s="100"/>
      <c r="C128" s="100"/>
      <c r="D128" s="100"/>
      <c r="E128" s="100"/>
      <c r="F128" s="100"/>
      <c r="G128" s="100"/>
      <c r="H128" s="100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8.5" thickBot="1" x14ac:dyDescent="0.45">
      <c r="A129" s="52" t="s">
        <v>34</v>
      </c>
      <c r="B129" s="47" t="s">
        <v>35</v>
      </c>
      <c r="C129" s="47" t="s">
        <v>129</v>
      </c>
      <c r="D129" s="47" t="s">
        <v>130</v>
      </c>
      <c r="E129" s="47" t="s">
        <v>34</v>
      </c>
      <c r="F129" s="47" t="s">
        <v>131</v>
      </c>
      <c r="G129" s="47" t="s">
        <v>129</v>
      </c>
      <c r="H129" s="48" t="s">
        <v>130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8" x14ac:dyDescent="0.4">
      <c r="A130" s="43" t="s">
        <v>82</v>
      </c>
      <c r="B130" s="49" t="s">
        <v>159</v>
      </c>
      <c r="C130" s="49"/>
      <c r="D130" s="50">
        <v>5000</v>
      </c>
      <c r="E130" s="49" t="s">
        <v>125</v>
      </c>
      <c r="F130" s="49" t="s">
        <v>169</v>
      </c>
      <c r="G130" s="49"/>
      <c r="H130" s="51">
        <f>H132</f>
        <v>10000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8" x14ac:dyDescent="0.4">
      <c r="A131" s="23" t="s">
        <v>110</v>
      </c>
      <c r="B131" s="17" t="s">
        <v>164</v>
      </c>
      <c r="C131" s="17"/>
      <c r="D131" s="18">
        <v>5000</v>
      </c>
      <c r="E131" s="17"/>
      <c r="F131" s="17"/>
      <c r="G131" s="17"/>
      <c r="H131" s="2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8" x14ac:dyDescent="0.4">
      <c r="A132" s="23"/>
      <c r="B132" s="17"/>
      <c r="C132" s="17"/>
      <c r="D132" s="29">
        <f>SUM(D130:D131)</f>
        <v>10000</v>
      </c>
      <c r="E132" s="17"/>
      <c r="F132" s="17"/>
      <c r="G132" s="17"/>
      <c r="H132" s="31">
        <f>D132</f>
        <v>10000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8.5" thickBot="1" x14ac:dyDescent="0.45">
      <c r="A133" s="26" t="s">
        <v>135</v>
      </c>
      <c r="B133" s="27" t="s">
        <v>142</v>
      </c>
      <c r="C133" s="27"/>
      <c r="D133" s="33">
        <f>H130</f>
        <v>10000</v>
      </c>
      <c r="E133" s="27"/>
      <c r="F133" s="27"/>
      <c r="G133" s="27"/>
      <c r="H133" s="2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8" x14ac:dyDescent="0.4">
      <c r="A134" s="99" t="s">
        <v>185</v>
      </c>
      <c r="B134" s="99"/>
      <c r="C134" s="99"/>
      <c r="D134" s="99"/>
      <c r="E134" s="99"/>
      <c r="F134" s="99"/>
      <c r="G134" s="99"/>
      <c r="H134" s="9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8.5" thickBot="1" x14ac:dyDescent="0.45">
      <c r="A135" s="100" t="s">
        <v>205</v>
      </c>
      <c r="B135" s="100"/>
      <c r="C135" s="100"/>
      <c r="D135" s="100"/>
      <c r="E135" s="100"/>
      <c r="F135" s="100"/>
      <c r="G135" s="100"/>
      <c r="H135" s="100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8.5" thickBot="1" x14ac:dyDescent="0.45">
      <c r="A136" s="52" t="s">
        <v>34</v>
      </c>
      <c r="B136" s="47" t="s">
        <v>35</v>
      </c>
      <c r="C136" s="47" t="s">
        <v>129</v>
      </c>
      <c r="D136" s="47" t="s">
        <v>130</v>
      </c>
      <c r="E136" s="47" t="s">
        <v>34</v>
      </c>
      <c r="F136" s="47" t="s">
        <v>131</v>
      </c>
      <c r="G136" s="47" t="s">
        <v>129</v>
      </c>
      <c r="H136" s="48" t="s">
        <v>130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8" x14ac:dyDescent="0.4">
      <c r="A137" s="43" t="s">
        <v>125</v>
      </c>
      <c r="B137" s="49" t="s">
        <v>134</v>
      </c>
      <c r="C137" s="49"/>
      <c r="D137" s="50">
        <f>D139</f>
        <v>2000</v>
      </c>
      <c r="E137" s="49" t="s">
        <v>85</v>
      </c>
      <c r="F137" s="49" t="s">
        <v>140</v>
      </c>
      <c r="G137" s="49"/>
      <c r="H137" s="51">
        <v>2000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8" x14ac:dyDescent="0.4">
      <c r="A138" s="23"/>
      <c r="B138" s="17"/>
      <c r="C138" s="17"/>
      <c r="D138" s="17"/>
      <c r="E138" s="17"/>
      <c r="F138" s="17"/>
      <c r="G138" s="17"/>
      <c r="H138" s="2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8" x14ac:dyDescent="0.4">
      <c r="A139" s="23"/>
      <c r="B139" s="17"/>
      <c r="C139" s="17"/>
      <c r="D139" s="29">
        <f>H139</f>
        <v>2000</v>
      </c>
      <c r="E139" s="17"/>
      <c r="F139" s="17"/>
      <c r="G139" s="17"/>
      <c r="H139" s="31">
        <f>H137</f>
        <v>2000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8.5" thickBot="1" x14ac:dyDescent="0.45">
      <c r="A140" s="26"/>
      <c r="B140" s="27"/>
      <c r="C140" s="27"/>
      <c r="D140" s="27"/>
      <c r="E140" s="27" t="s">
        <v>135</v>
      </c>
      <c r="F140" s="27" t="s">
        <v>170</v>
      </c>
      <c r="G140" s="27"/>
      <c r="H140" s="32">
        <f>D137</f>
        <v>2000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8" x14ac:dyDescent="0.4">
      <c r="A141" s="99" t="s">
        <v>186</v>
      </c>
      <c r="B141" s="99"/>
      <c r="C141" s="99"/>
      <c r="D141" s="99"/>
      <c r="E141" s="99"/>
      <c r="F141" s="99"/>
      <c r="G141" s="99"/>
      <c r="H141" s="9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8.5" thickBot="1" x14ac:dyDescent="0.45">
      <c r="A142" s="100" t="s">
        <v>205</v>
      </c>
      <c r="B142" s="100"/>
      <c r="C142" s="100"/>
      <c r="D142" s="100"/>
      <c r="E142" s="100"/>
      <c r="F142" s="100"/>
      <c r="G142" s="100"/>
      <c r="H142" s="10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8.5" thickBot="1" x14ac:dyDescent="0.45">
      <c r="A143" s="52" t="s">
        <v>34</v>
      </c>
      <c r="B143" s="47" t="s">
        <v>35</v>
      </c>
      <c r="C143" s="47" t="s">
        <v>129</v>
      </c>
      <c r="D143" s="47" t="s">
        <v>130</v>
      </c>
      <c r="E143" s="47" t="s">
        <v>34</v>
      </c>
      <c r="F143" s="47" t="s">
        <v>131</v>
      </c>
      <c r="G143" s="47" t="s">
        <v>129</v>
      </c>
      <c r="H143" s="48" t="s">
        <v>130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8" x14ac:dyDescent="0.4">
      <c r="A144" s="43" t="s">
        <v>89</v>
      </c>
      <c r="B144" s="49" t="s">
        <v>144</v>
      </c>
      <c r="C144" s="49"/>
      <c r="D144" s="50">
        <v>50000</v>
      </c>
      <c r="E144" s="49" t="s">
        <v>125</v>
      </c>
      <c r="F144" s="49" t="s">
        <v>169</v>
      </c>
      <c r="G144" s="49"/>
      <c r="H144" s="51">
        <f>H146</f>
        <v>50000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8" x14ac:dyDescent="0.4">
      <c r="A145" s="23"/>
      <c r="B145" s="17"/>
      <c r="C145" s="17"/>
      <c r="D145" s="17"/>
      <c r="E145" s="17"/>
      <c r="F145" s="17"/>
      <c r="G145" s="17"/>
      <c r="H145" s="2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8" x14ac:dyDescent="0.4">
      <c r="A146" s="23"/>
      <c r="B146" s="17"/>
      <c r="C146" s="17"/>
      <c r="D146" s="29">
        <f>D144</f>
        <v>50000</v>
      </c>
      <c r="E146" s="17"/>
      <c r="F146" s="17"/>
      <c r="G146" s="17"/>
      <c r="H146" s="31">
        <f>D146</f>
        <v>50000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8.5" thickBot="1" x14ac:dyDescent="0.45">
      <c r="A147" s="26" t="s">
        <v>135</v>
      </c>
      <c r="B147" s="27" t="s">
        <v>142</v>
      </c>
      <c r="C147" s="27"/>
      <c r="D147" s="33">
        <f>H144</f>
        <v>50000</v>
      </c>
      <c r="E147" s="27"/>
      <c r="F147" s="27"/>
      <c r="G147" s="27"/>
      <c r="H147" s="2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8" x14ac:dyDescent="0.4">
      <c r="A148" s="99" t="s">
        <v>187</v>
      </c>
      <c r="B148" s="99"/>
      <c r="C148" s="99"/>
      <c r="D148" s="99"/>
      <c r="E148" s="99"/>
      <c r="F148" s="99"/>
      <c r="G148" s="99"/>
      <c r="H148" s="9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8.5" thickBot="1" x14ac:dyDescent="0.45">
      <c r="A149" s="100" t="s">
        <v>205</v>
      </c>
      <c r="B149" s="100"/>
      <c r="C149" s="100"/>
      <c r="D149" s="100"/>
      <c r="E149" s="100"/>
      <c r="F149" s="100"/>
      <c r="G149" s="100"/>
      <c r="H149" s="100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8.5" thickBot="1" x14ac:dyDescent="0.45">
      <c r="A150" s="52" t="s">
        <v>34</v>
      </c>
      <c r="B150" s="47" t="s">
        <v>35</v>
      </c>
      <c r="C150" s="47" t="s">
        <v>129</v>
      </c>
      <c r="D150" s="47" t="s">
        <v>130</v>
      </c>
      <c r="E150" s="47" t="s">
        <v>34</v>
      </c>
      <c r="F150" s="47" t="s">
        <v>131</v>
      </c>
      <c r="G150" s="47" t="s">
        <v>129</v>
      </c>
      <c r="H150" s="48" t="s">
        <v>130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8" x14ac:dyDescent="0.4">
      <c r="A151" s="43" t="s">
        <v>92</v>
      </c>
      <c r="B151" s="49" t="s">
        <v>144</v>
      </c>
      <c r="C151" s="49"/>
      <c r="D151" s="50">
        <v>12000</v>
      </c>
      <c r="E151" s="49" t="s">
        <v>125</v>
      </c>
      <c r="F151" s="49" t="s">
        <v>169</v>
      </c>
      <c r="G151" s="49"/>
      <c r="H151" s="51">
        <f>H153</f>
        <v>12000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8" x14ac:dyDescent="0.4">
      <c r="A152" s="23"/>
      <c r="B152" s="17"/>
      <c r="C152" s="17"/>
      <c r="D152" s="17"/>
      <c r="E152" s="17"/>
      <c r="F152" s="17"/>
      <c r="G152" s="17"/>
      <c r="H152" s="2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8" x14ac:dyDescent="0.4">
      <c r="A153" s="23"/>
      <c r="B153" s="17"/>
      <c r="C153" s="17"/>
      <c r="D153" s="29">
        <f>D151</f>
        <v>12000</v>
      </c>
      <c r="E153" s="17"/>
      <c r="F153" s="17"/>
      <c r="G153" s="17"/>
      <c r="H153" s="31">
        <f>D153</f>
        <v>12000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8.5" thickBot="1" x14ac:dyDescent="0.45">
      <c r="A154" s="26" t="s">
        <v>135</v>
      </c>
      <c r="B154" s="27" t="s">
        <v>142</v>
      </c>
      <c r="C154" s="27"/>
      <c r="D154" s="33">
        <f>H151</f>
        <v>12000</v>
      </c>
      <c r="E154" s="27"/>
      <c r="F154" s="27"/>
      <c r="G154" s="27"/>
      <c r="H154" s="2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8" x14ac:dyDescent="0.4">
      <c r="A155" s="99" t="s">
        <v>188</v>
      </c>
      <c r="B155" s="99"/>
      <c r="C155" s="99"/>
      <c r="D155" s="99"/>
      <c r="E155" s="99"/>
      <c r="F155" s="99"/>
      <c r="G155" s="99"/>
      <c r="H155" s="9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8.5" thickBot="1" x14ac:dyDescent="0.45">
      <c r="A156" s="100" t="s">
        <v>154</v>
      </c>
      <c r="B156" s="100"/>
      <c r="C156" s="100"/>
      <c r="D156" s="100"/>
      <c r="E156" s="100"/>
      <c r="F156" s="100"/>
      <c r="G156" s="100"/>
      <c r="H156" s="10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8.5" thickBot="1" x14ac:dyDescent="0.45">
      <c r="A157" s="52" t="s">
        <v>34</v>
      </c>
      <c r="B157" s="47" t="s">
        <v>35</v>
      </c>
      <c r="C157" s="47" t="s">
        <v>129</v>
      </c>
      <c r="D157" s="47" t="s">
        <v>130</v>
      </c>
      <c r="E157" s="47" t="s">
        <v>34</v>
      </c>
      <c r="F157" s="47" t="s">
        <v>131</v>
      </c>
      <c r="G157" s="47" t="s">
        <v>129</v>
      </c>
      <c r="H157" s="48" t="s">
        <v>130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8" x14ac:dyDescent="0.4">
      <c r="A158" s="43" t="s">
        <v>125</v>
      </c>
      <c r="B158" s="49" t="s">
        <v>134</v>
      </c>
      <c r="C158" s="49"/>
      <c r="D158" s="53">
        <f>D160</f>
        <v>8000</v>
      </c>
      <c r="E158" s="49" t="s">
        <v>95</v>
      </c>
      <c r="F158" s="49" t="s">
        <v>174</v>
      </c>
      <c r="G158" s="49"/>
      <c r="H158" s="51">
        <v>8000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8" x14ac:dyDescent="0.4">
      <c r="A159" s="23"/>
      <c r="B159" s="17"/>
      <c r="C159" s="17"/>
      <c r="D159" s="17"/>
      <c r="E159" s="17"/>
      <c r="F159" s="17"/>
      <c r="G159" s="17"/>
      <c r="H159" s="2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8" x14ac:dyDescent="0.4">
      <c r="A160" s="23"/>
      <c r="B160" s="17"/>
      <c r="C160" s="17"/>
      <c r="D160" s="29">
        <f>H160</f>
        <v>8000</v>
      </c>
      <c r="E160" s="17"/>
      <c r="F160" s="17"/>
      <c r="G160" s="17"/>
      <c r="H160" s="31">
        <f>H158</f>
        <v>8000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8.5" thickBot="1" x14ac:dyDescent="0.45">
      <c r="A161" s="26"/>
      <c r="B161" s="27"/>
      <c r="C161" s="27"/>
      <c r="D161" s="27"/>
      <c r="E161" s="27" t="s">
        <v>135</v>
      </c>
      <c r="F161" s="27" t="s">
        <v>170</v>
      </c>
      <c r="G161" s="27"/>
      <c r="H161" s="32">
        <f>D158</f>
        <v>8000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8" x14ac:dyDescent="0.4">
      <c r="A162" s="99" t="s">
        <v>189</v>
      </c>
      <c r="B162" s="99"/>
      <c r="C162" s="99"/>
      <c r="D162" s="99"/>
      <c r="E162" s="99"/>
      <c r="F162" s="99"/>
      <c r="G162" s="99"/>
      <c r="H162" s="9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8.5" thickBot="1" x14ac:dyDescent="0.45">
      <c r="A163" s="100" t="s">
        <v>154</v>
      </c>
      <c r="B163" s="100"/>
      <c r="C163" s="100"/>
      <c r="D163" s="100"/>
      <c r="E163" s="100"/>
      <c r="F163" s="100"/>
      <c r="G163" s="100"/>
      <c r="H163" s="100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8.5" thickBot="1" x14ac:dyDescent="0.45">
      <c r="A164" s="52" t="s">
        <v>34</v>
      </c>
      <c r="B164" s="47" t="s">
        <v>35</v>
      </c>
      <c r="C164" s="47" t="s">
        <v>129</v>
      </c>
      <c r="D164" s="47" t="s">
        <v>130</v>
      </c>
      <c r="E164" s="47" t="s">
        <v>34</v>
      </c>
      <c r="F164" s="47" t="s">
        <v>131</v>
      </c>
      <c r="G164" s="47" t="s">
        <v>129</v>
      </c>
      <c r="H164" s="48" t="s">
        <v>130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8" x14ac:dyDescent="0.4">
      <c r="A165" s="43" t="s">
        <v>98</v>
      </c>
      <c r="B165" s="49" t="s">
        <v>144</v>
      </c>
      <c r="C165" s="49"/>
      <c r="D165" s="50">
        <v>9000</v>
      </c>
      <c r="E165" s="49" t="s">
        <v>125</v>
      </c>
      <c r="F165" s="49" t="s">
        <v>169</v>
      </c>
      <c r="G165" s="49"/>
      <c r="H165" s="51">
        <f>H167</f>
        <v>9000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8" x14ac:dyDescent="0.4">
      <c r="A166" s="23"/>
      <c r="B166" s="17"/>
      <c r="C166" s="17"/>
      <c r="D166" s="17"/>
      <c r="E166" s="17"/>
      <c r="F166" s="17"/>
      <c r="G166" s="17"/>
      <c r="H166" s="2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8" x14ac:dyDescent="0.4">
      <c r="A167" s="23"/>
      <c r="B167" s="17"/>
      <c r="C167" s="17"/>
      <c r="D167" s="29">
        <f>D165</f>
        <v>9000</v>
      </c>
      <c r="E167" s="17"/>
      <c r="F167" s="17"/>
      <c r="G167" s="17"/>
      <c r="H167" s="31">
        <f>D167</f>
        <v>9000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8.5" thickBot="1" x14ac:dyDescent="0.45">
      <c r="A168" s="26" t="s">
        <v>135</v>
      </c>
      <c r="B168" s="27" t="s">
        <v>142</v>
      </c>
      <c r="C168" s="27"/>
      <c r="D168" s="33">
        <f>H165</f>
        <v>9000</v>
      </c>
      <c r="E168" s="27"/>
      <c r="F168" s="27"/>
      <c r="G168" s="27"/>
      <c r="H168" s="2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8" x14ac:dyDescent="0.4">
      <c r="A169" s="99" t="s">
        <v>295</v>
      </c>
      <c r="B169" s="99"/>
      <c r="C169" s="99"/>
      <c r="D169" s="99"/>
      <c r="E169" s="99"/>
      <c r="F169" s="99"/>
      <c r="G169" s="99"/>
      <c r="H169" s="9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8.5" thickBot="1" x14ac:dyDescent="0.45">
      <c r="A170" s="100" t="s">
        <v>154</v>
      </c>
      <c r="B170" s="100"/>
      <c r="C170" s="100"/>
      <c r="D170" s="100"/>
      <c r="E170" s="100"/>
      <c r="F170" s="100"/>
      <c r="G170" s="100"/>
      <c r="H170" s="100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8.5" thickBot="1" x14ac:dyDescent="0.45">
      <c r="A171" s="52" t="s">
        <v>34</v>
      </c>
      <c r="B171" s="47" t="s">
        <v>35</v>
      </c>
      <c r="C171" s="47" t="s">
        <v>129</v>
      </c>
      <c r="D171" s="47" t="s">
        <v>130</v>
      </c>
      <c r="E171" s="47" t="s">
        <v>34</v>
      </c>
      <c r="F171" s="47" t="s">
        <v>131</v>
      </c>
      <c r="G171" s="47" t="s">
        <v>129</v>
      </c>
      <c r="H171" s="48" t="s">
        <v>130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8" x14ac:dyDescent="0.4">
      <c r="A172" s="19" t="s">
        <v>125</v>
      </c>
      <c r="B172" s="20" t="s">
        <v>134</v>
      </c>
      <c r="C172" s="20"/>
      <c r="D172" s="21">
        <f>D174</f>
        <v>80000</v>
      </c>
      <c r="E172" s="20" t="s">
        <v>101</v>
      </c>
      <c r="F172" s="20" t="s">
        <v>151</v>
      </c>
      <c r="G172" s="20"/>
      <c r="H172" s="30">
        <v>80000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8" x14ac:dyDescent="0.4">
      <c r="A173" s="23"/>
      <c r="B173" s="17"/>
      <c r="C173" s="17"/>
      <c r="D173" s="17"/>
      <c r="E173" s="17"/>
      <c r="F173" s="17"/>
      <c r="G173" s="17"/>
      <c r="H173" s="2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8" x14ac:dyDescent="0.4">
      <c r="A174" s="23"/>
      <c r="B174" s="17"/>
      <c r="C174" s="17"/>
      <c r="D174" s="29">
        <f>H174</f>
        <v>80000</v>
      </c>
      <c r="E174" s="17"/>
      <c r="F174" s="17"/>
      <c r="G174" s="17"/>
      <c r="H174" s="31">
        <f>H172</f>
        <v>80000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8.5" thickBot="1" x14ac:dyDescent="0.45">
      <c r="A175" s="26"/>
      <c r="B175" s="27"/>
      <c r="C175" s="27"/>
      <c r="D175" s="27"/>
      <c r="E175" s="27" t="s">
        <v>135</v>
      </c>
      <c r="F175" s="27" t="s">
        <v>170</v>
      </c>
      <c r="G175" s="27"/>
      <c r="H175" s="32">
        <f>D172</f>
        <v>80000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8" x14ac:dyDescent="0.4">
      <c r="A176" s="90" t="s">
        <v>190</v>
      </c>
      <c r="B176" s="90"/>
      <c r="C176" s="90"/>
      <c r="D176" s="90"/>
      <c r="E176" s="90"/>
      <c r="F176" s="90"/>
      <c r="G176" s="90"/>
      <c r="H176" s="90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8.5" thickBot="1" x14ac:dyDescent="0.45">
      <c r="A177" s="101" t="s">
        <v>154</v>
      </c>
      <c r="B177" s="101"/>
      <c r="C177" s="101"/>
      <c r="D177" s="101"/>
      <c r="E177" s="101"/>
      <c r="F177" s="101"/>
      <c r="G177" s="101"/>
      <c r="H177" s="10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8.5" thickBot="1" x14ac:dyDescent="0.45">
      <c r="A178" s="44" t="s">
        <v>34</v>
      </c>
      <c r="B178" s="42" t="s">
        <v>35</v>
      </c>
      <c r="C178" s="15" t="s">
        <v>129</v>
      </c>
      <c r="D178" s="45" t="s">
        <v>130</v>
      </c>
      <c r="E178" s="44" t="s">
        <v>34</v>
      </c>
      <c r="F178" s="42" t="s">
        <v>131</v>
      </c>
      <c r="G178" s="15" t="s">
        <v>129</v>
      </c>
      <c r="H178" s="16" t="s">
        <v>130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8" x14ac:dyDescent="0.4">
      <c r="A179" s="19" t="s">
        <v>104</v>
      </c>
      <c r="B179" s="20" t="s">
        <v>157</v>
      </c>
      <c r="C179" s="20"/>
      <c r="D179" s="21">
        <v>110000</v>
      </c>
      <c r="E179" s="20" t="s">
        <v>110</v>
      </c>
      <c r="F179" s="20" t="s">
        <v>174</v>
      </c>
      <c r="G179" s="20"/>
      <c r="H179" s="30">
        <v>105000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8" x14ac:dyDescent="0.4">
      <c r="A180" s="23"/>
      <c r="B180" s="17"/>
      <c r="C180" s="17"/>
      <c r="D180" s="17"/>
      <c r="E180" s="17" t="s">
        <v>110</v>
      </c>
      <c r="F180" s="17" t="s">
        <v>179</v>
      </c>
      <c r="G180" s="17"/>
      <c r="H180" s="24">
        <v>5000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8.5" thickBot="1" x14ac:dyDescent="0.45">
      <c r="A181" s="26"/>
      <c r="B181" s="27"/>
      <c r="C181" s="27"/>
      <c r="D181" s="34">
        <f>H181</f>
        <v>110000</v>
      </c>
      <c r="E181" s="27"/>
      <c r="F181" s="27"/>
      <c r="G181" s="27"/>
      <c r="H181" s="35">
        <f>SUM(H179:H180)</f>
        <v>110000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8" x14ac:dyDescent="0.4">
      <c r="A182" s="99" t="s">
        <v>191</v>
      </c>
      <c r="B182" s="99"/>
      <c r="C182" s="99"/>
      <c r="D182" s="99"/>
      <c r="E182" s="99"/>
      <c r="F182" s="99"/>
      <c r="G182" s="99"/>
      <c r="H182" s="9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8.5" thickBot="1" x14ac:dyDescent="0.45">
      <c r="A183" s="100" t="s">
        <v>154</v>
      </c>
      <c r="B183" s="100"/>
      <c r="C183" s="100"/>
      <c r="D183" s="100"/>
      <c r="E183" s="100"/>
      <c r="F183" s="100"/>
      <c r="G183" s="100"/>
      <c r="H183" s="100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8.5" thickBot="1" x14ac:dyDescent="0.45">
      <c r="A184" s="52" t="s">
        <v>34</v>
      </c>
      <c r="B184" s="46" t="s">
        <v>35</v>
      </c>
      <c r="C184" s="47" t="s">
        <v>129</v>
      </c>
      <c r="D184" s="47" t="s">
        <v>130</v>
      </c>
      <c r="E184" s="47" t="s">
        <v>34</v>
      </c>
      <c r="F184" s="47" t="s">
        <v>131</v>
      </c>
      <c r="G184" s="47" t="s">
        <v>129</v>
      </c>
      <c r="H184" s="48" t="s">
        <v>130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8" x14ac:dyDescent="0.4">
      <c r="A185" s="23" t="s">
        <v>109</v>
      </c>
      <c r="B185" s="49" t="s">
        <v>144</v>
      </c>
      <c r="C185" s="49"/>
      <c r="D185" s="50">
        <v>20000</v>
      </c>
      <c r="E185" s="49" t="s">
        <v>125</v>
      </c>
      <c r="F185" s="49" t="s">
        <v>169</v>
      </c>
      <c r="G185" s="49"/>
      <c r="H185" s="51">
        <f>H187</f>
        <v>20000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8" x14ac:dyDescent="0.4">
      <c r="A186" s="23"/>
      <c r="B186" s="17"/>
      <c r="C186" s="17"/>
      <c r="D186" s="17"/>
      <c r="E186" s="17"/>
      <c r="F186" s="17"/>
      <c r="G186" s="17"/>
      <c r="H186" s="2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8" x14ac:dyDescent="0.4">
      <c r="A187" s="23"/>
      <c r="B187" s="17"/>
      <c r="C187" s="17"/>
      <c r="D187" s="29">
        <f>D185</f>
        <v>20000</v>
      </c>
      <c r="E187" s="17"/>
      <c r="F187" s="17"/>
      <c r="G187" s="17"/>
      <c r="H187" s="31">
        <f>D187</f>
        <v>20000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8.5" thickBot="1" x14ac:dyDescent="0.45">
      <c r="A188" s="26" t="s">
        <v>135</v>
      </c>
      <c r="B188" s="27" t="s">
        <v>142</v>
      </c>
      <c r="C188" s="27"/>
      <c r="D188" s="33">
        <f>H185</f>
        <v>20000</v>
      </c>
      <c r="E188" s="27"/>
      <c r="F188" s="27"/>
      <c r="G188" s="27"/>
      <c r="H188" s="2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8" x14ac:dyDescent="0.4">
      <c r="A189" s="99" t="s">
        <v>192</v>
      </c>
      <c r="B189" s="99"/>
      <c r="C189" s="99"/>
      <c r="D189" s="99"/>
      <c r="E189" s="99"/>
      <c r="F189" s="99"/>
      <c r="G189" s="99"/>
      <c r="H189" s="9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8.5" thickBot="1" x14ac:dyDescent="0.45">
      <c r="A190" s="100" t="s">
        <v>154</v>
      </c>
      <c r="B190" s="100"/>
      <c r="C190" s="100"/>
      <c r="D190" s="100"/>
      <c r="E190" s="100"/>
      <c r="F190" s="100"/>
      <c r="G190" s="100"/>
      <c r="H190" s="100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8.5" thickBot="1" x14ac:dyDescent="0.45">
      <c r="A191" s="52" t="s">
        <v>34</v>
      </c>
      <c r="B191" s="46" t="s">
        <v>35</v>
      </c>
      <c r="C191" s="47" t="s">
        <v>129</v>
      </c>
      <c r="D191" s="47" t="s">
        <v>130</v>
      </c>
      <c r="E191" s="47" t="s">
        <v>34</v>
      </c>
      <c r="F191" s="47" t="s">
        <v>131</v>
      </c>
      <c r="G191" s="47" t="s">
        <v>129</v>
      </c>
      <c r="H191" s="48" t="s">
        <v>130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8" x14ac:dyDescent="0.4">
      <c r="A192" s="23" t="s">
        <v>113</v>
      </c>
      <c r="B192" s="49" t="s">
        <v>144</v>
      </c>
      <c r="C192" s="49"/>
      <c r="D192" s="50">
        <v>15000</v>
      </c>
      <c r="E192" s="49" t="s">
        <v>125</v>
      </c>
      <c r="F192" s="49" t="s">
        <v>169</v>
      </c>
      <c r="G192" s="49"/>
      <c r="H192" s="51">
        <f>H194</f>
        <v>15000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8" x14ac:dyDescent="0.4">
      <c r="A193" s="23"/>
      <c r="B193" s="17"/>
      <c r="C193" s="17"/>
      <c r="D193" s="17"/>
      <c r="E193" s="17"/>
      <c r="F193" s="17"/>
      <c r="G193" s="17"/>
      <c r="H193" s="2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8" x14ac:dyDescent="0.4">
      <c r="A194" s="23"/>
      <c r="B194" s="17"/>
      <c r="C194" s="17"/>
      <c r="D194" s="29">
        <f>D192</f>
        <v>15000</v>
      </c>
      <c r="E194" s="17"/>
      <c r="F194" s="17"/>
      <c r="G194" s="17"/>
      <c r="H194" s="31">
        <f>D194</f>
        <v>15000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8.5" thickBot="1" x14ac:dyDescent="0.45">
      <c r="A195" s="26" t="s">
        <v>135</v>
      </c>
      <c r="B195" s="27" t="s">
        <v>142</v>
      </c>
      <c r="C195" s="27"/>
      <c r="D195" s="33">
        <f>H192</f>
        <v>15000</v>
      </c>
      <c r="E195" s="27"/>
      <c r="F195" s="27"/>
      <c r="G195" s="27"/>
      <c r="H195" s="2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8" x14ac:dyDescent="0.4">
      <c r="A196" s="99" t="s">
        <v>193</v>
      </c>
      <c r="B196" s="99"/>
      <c r="C196" s="99"/>
      <c r="D196" s="99"/>
      <c r="E196" s="99"/>
      <c r="F196" s="99"/>
      <c r="G196" s="99"/>
      <c r="H196" s="9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8.5" thickBot="1" x14ac:dyDescent="0.45">
      <c r="A197" s="100" t="s">
        <v>154</v>
      </c>
      <c r="B197" s="100"/>
      <c r="C197" s="100"/>
      <c r="D197" s="100"/>
      <c r="E197" s="100"/>
      <c r="F197" s="100"/>
      <c r="G197" s="100"/>
      <c r="H197" s="100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8.5" thickBot="1" x14ac:dyDescent="0.45">
      <c r="A198" s="52" t="s">
        <v>34</v>
      </c>
      <c r="B198" s="47" t="s">
        <v>35</v>
      </c>
      <c r="C198" s="47" t="s">
        <v>129</v>
      </c>
      <c r="D198" s="47" t="s">
        <v>130</v>
      </c>
      <c r="E198" s="47" t="s">
        <v>34</v>
      </c>
      <c r="F198" s="47" t="s">
        <v>131</v>
      </c>
      <c r="G198" s="47" t="s">
        <v>129</v>
      </c>
      <c r="H198" s="48" t="s">
        <v>130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8" x14ac:dyDescent="0.4">
      <c r="A199" s="43" t="s">
        <v>125</v>
      </c>
      <c r="B199" s="49" t="s">
        <v>134</v>
      </c>
      <c r="C199" s="49"/>
      <c r="D199" s="50">
        <f>D201</f>
        <v>6000</v>
      </c>
      <c r="E199" s="23" t="s">
        <v>116</v>
      </c>
      <c r="F199" s="49" t="s">
        <v>174</v>
      </c>
      <c r="G199" s="49"/>
      <c r="H199" s="51">
        <v>6000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8" x14ac:dyDescent="0.4">
      <c r="A200" s="23"/>
      <c r="B200" s="17"/>
      <c r="C200" s="17"/>
      <c r="D200" s="17"/>
      <c r="E200" s="17"/>
      <c r="F200" s="17"/>
      <c r="G200" s="17"/>
      <c r="H200" s="2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8" x14ac:dyDescent="0.4">
      <c r="A201" s="23"/>
      <c r="B201" s="17"/>
      <c r="C201" s="17"/>
      <c r="D201" s="29">
        <f>H201</f>
        <v>6000</v>
      </c>
      <c r="E201" s="17"/>
      <c r="F201" s="17"/>
      <c r="G201" s="17"/>
      <c r="H201" s="31">
        <f>H199</f>
        <v>6000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8.5" thickBot="1" x14ac:dyDescent="0.45">
      <c r="A202" s="26"/>
      <c r="B202" s="27"/>
      <c r="C202" s="27"/>
      <c r="D202" s="27"/>
      <c r="E202" s="27" t="s">
        <v>135</v>
      </c>
      <c r="F202" s="27" t="s">
        <v>170</v>
      </c>
      <c r="G202" s="27"/>
      <c r="H202" s="32">
        <f>D199</f>
        <v>6000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8" x14ac:dyDescent="0.4">
      <c r="A203" s="99" t="s">
        <v>296</v>
      </c>
      <c r="B203" s="99"/>
      <c r="C203" s="99"/>
      <c r="D203" s="99"/>
      <c r="E203" s="99"/>
      <c r="F203" s="99"/>
      <c r="G203" s="99"/>
      <c r="H203" s="9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8.5" thickBot="1" x14ac:dyDescent="0.45">
      <c r="A204" s="100" t="s">
        <v>154</v>
      </c>
      <c r="B204" s="100"/>
      <c r="C204" s="100"/>
      <c r="D204" s="100"/>
      <c r="E204" s="100"/>
      <c r="F204" s="100"/>
      <c r="G204" s="100"/>
      <c r="H204" s="100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8.5" thickBot="1" x14ac:dyDescent="0.45">
      <c r="A205" s="52" t="s">
        <v>34</v>
      </c>
      <c r="B205" s="46" t="s">
        <v>35</v>
      </c>
      <c r="C205" s="47" t="s">
        <v>129</v>
      </c>
      <c r="D205" s="47" t="s">
        <v>130</v>
      </c>
      <c r="E205" s="47" t="s">
        <v>34</v>
      </c>
      <c r="F205" s="47" t="s">
        <v>131</v>
      </c>
      <c r="G205" s="47" t="s">
        <v>129</v>
      </c>
      <c r="H205" s="48" t="s">
        <v>130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8" x14ac:dyDescent="0.4">
      <c r="A206" s="23" t="s">
        <v>119</v>
      </c>
      <c r="B206" s="49" t="s">
        <v>144</v>
      </c>
      <c r="C206" s="49"/>
      <c r="D206" s="50">
        <v>10000</v>
      </c>
      <c r="E206" s="49" t="s">
        <v>125</v>
      </c>
      <c r="F206" s="49" t="s">
        <v>169</v>
      </c>
      <c r="G206" s="49"/>
      <c r="H206" s="51">
        <f>H208</f>
        <v>10000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8" x14ac:dyDescent="0.4">
      <c r="A207" s="23"/>
      <c r="B207" s="17"/>
      <c r="C207" s="17"/>
      <c r="D207" s="17"/>
      <c r="E207" s="17"/>
      <c r="F207" s="17"/>
      <c r="G207" s="17"/>
      <c r="H207" s="2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8" x14ac:dyDescent="0.4">
      <c r="A208" s="23"/>
      <c r="B208" s="17"/>
      <c r="C208" s="17"/>
      <c r="D208" s="29">
        <f>D206</f>
        <v>10000</v>
      </c>
      <c r="E208" s="17"/>
      <c r="F208" s="17"/>
      <c r="G208" s="17"/>
      <c r="H208" s="31">
        <f>D208</f>
        <v>10000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8.5" thickBot="1" x14ac:dyDescent="0.45">
      <c r="A209" s="26" t="s">
        <v>135</v>
      </c>
      <c r="B209" s="27" t="s">
        <v>142</v>
      </c>
      <c r="C209" s="27"/>
      <c r="D209" s="33">
        <f>H206</f>
        <v>10000</v>
      </c>
      <c r="E209" s="27"/>
      <c r="F209" s="27"/>
      <c r="G209" s="27"/>
      <c r="H209" s="2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8" x14ac:dyDescent="0.4">
      <c r="A210" s="99" t="s">
        <v>194</v>
      </c>
      <c r="B210" s="99"/>
      <c r="C210" s="99"/>
      <c r="D210" s="99"/>
      <c r="E210" s="99"/>
      <c r="F210" s="99"/>
      <c r="G210" s="99"/>
      <c r="H210" s="9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8.5" thickBot="1" x14ac:dyDescent="0.45">
      <c r="A211" s="100" t="s">
        <v>154</v>
      </c>
      <c r="B211" s="100"/>
      <c r="C211" s="100"/>
      <c r="D211" s="100"/>
      <c r="E211" s="100"/>
      <c r="F211" s="100"/>
      <c r="G211" s="100"/>
      <c r="H211" s="100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8.5" thickBot="1" x14ac:dyDescent="0.45">
      <c r="A212" s="52" t="s">
        <v>34</v>
      </c>
      <c r="B212" s="46" t="s">
        <v>35</v>
      </c>
      <c r="C212" s="47" t="s">
        <v>129</v>
      </c>
      <c r="D212" s="47" t="s">
        <v>130</v>
      </c>
      <c r="E212" s="47" t="s">
        <v>34</v>
      </c>
      <c r="F212" s="47" t="s">
        <v>131</v>
      </c>
      <c r="G212" s="47" t="s">
        <v>129</v>
      </c>
      <c r="H212" s="48" t="s">
        <v>130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8" x14ac:dyDescent="0.4">
      <c r="A213" s="23" t="s">
        <v>122</v>
      </c>
      <c r="B213" s="49" t="s">
        <v>144</v>
      </c>
      <c r="C213" s="49"/>
      <c r="D213" s="50">
        <v>4000</v>
      </c>
      <c r="E213" s="49" t="s">
        <v>125</v>
      </c>
      <c r="F213" s="49" t="s">
        <v>169</v>
      </c>
      <c r="G213" s="49"/>
      <c r="H213" s="51">
        <f>H215</f>
        <v>4000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8" x14ac:dyDescent="0.4">
      <c r="A214" s="23"/>
      <c r="B214" s="17"/>
      <c r="C214" s="17"/>
      <c r="D214" s="17"/>
      <c r="E214" s="17"/>
      <c r="F214" s="17"/>
      <c r="G214" s="17"/>
      <c r="H214" s="2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8" x14ac:dyDescent="0.4">
      <c r="A215" s="23"/>
      <c r="B215" s="17"/>
      <c r="C215" s="17"/>
      <c r="D215" s="29">
        <f>D213</f>
        <v>4000</v>
      </c>
      <c r="E215" s="17"/>
      <c r="F215" s="17"/>
      <c r="G215" s="17"/>
      <c r="H215" s="31">
        <f>D215</f>
        <v>4000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8.5" thickBot="1" x14ac:dyDescent="0.45">
      <c r="A216" s="26" t="s">
        <v>135</v>
      </c>
      <c r="B216" s="27" t="s">
        <v>142</v>
      </c>
      <c r="C216" s="27"/>
      <c r="D216" s="33">
        <f>H213</f>
        <v>4000</v>
      </c>
      <c r="E216" s="27"/>
      <c r="F216" s="27"/>
      <c r="G216" s="27"/>
      <c r="H216" s="2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8" x14ac:dyDescent="0.4">
      <c r="A217" s="99" t="s">
        <v>195</v>
      </c>
      <c r="B217" s="99"/>
      <c r="C217" s="99"/>
      <c r="D217" s="99"/>
      <c r="E217" s="99"/>
      <c r="F217" s="99"/>
      <c r="G217" s="99"/>
      <c r="H217" s="9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8.5" thickBot="1" x14ac:dyDescent="0.45">
      <c r="A218" s="100" t="s">
        <v>154</v>
      </c>
      <c r="B218" s="100"/>
      <c r="C218" s="100"/>
      <c r="D218" s="100"/>
      <c r="E218" s="100"/>
      <c r="F218" s="100"/>
      <c r="G218" s="100"/>
      <c r="H218" s="100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8.5" thickBot="1" x14ac:dyDescent="0.45">
      <c r="A219" s="52" t="s">
        <v>34</v>
      </c>
      <c r="B219" s="46" t="s">
        <v>35</v>
      </c>
      <c r="C219" s="47" t="s">
        <v>129</v>
      </c>
      <c r="D219" s="47" t="s">
        <v>130</v>
      </c>
      <c r="E219" s="47" t="s">
        <v>34</v>
      </c>
      <c r="F219" s="47" t="s">
        <v>131</v>
      </c>
      <c r="G219" s="47" t="s">
        <v>129</v>
      </c>
      <c r="H219" s="48" t="s">
        <v>130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8" x14ac:dyDescent="0.4">
      <c r="A220" s="23" t="s">
        <v>125</v>
      </c>
      <c r="B220" s="49" t="s">
        <v>147</v>
      </c>
      <c r="C220" s="49"/>
      <c r="D220" s="50">
        <v>8000</v>
      </c>
      <c r="E220" s="49" t="s">
        <v>125</v>
      </c>
      <c r="F220" s="49" t="s">
        <v>169</v>
      </c>
      <c r="G220" s="49"/>
      <c r="H220" s="51">
        <f>H222</f>
        <v>8000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8" x14ac:dyDescent="0.4">
      <c r="A221" s="23"/>
      <c r="B221" s="17"/>
      <c r="C221" s="17"/>
      <c r="D221" s="17"/>
      <c r="E221" s="17"/>
      <c r="F221" s="17"/>
      <c r="G221" s="17"/>
      <c r="H221" s="2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8" x14ac:dyDescent="0.4">
      <c r="A222" s="23"/>
      <c r="B222" s="17"/>
      <c r="C222" s="17"/>
      <c r="D222" s="29">
        <f>D220</f>
        <v>8000</v>
      </c>
      <c r="E222" s="17"/>
      <c r="F222" s="17"/>
      <c r="G222" s="17"/>
      <c r="H222" s="31">
        <f>D222</f>
        <v>8000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8.5" thickBot="1" x14ac:dyDescent="0.45">
      <c r="A223" s="26" t="s">
        <v>135</v>
      </c>
      <c r="B223" s="27" t="s">
        <v>142</v>
      </c>
      <c r="C223" s="27"/>
      <c r="D223" s="33">
        <f>H220</f>
        <v>8000</v>
      </c>
      <c r="E223" s="27"/>
      <c r="F223" s="27"/>
      <c r="G223" s="27"/>
      <c r="H223" s="2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8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8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8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8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8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8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8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8" x14ac:dyDescent="0.4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8" x14ac:dyDescent="0.4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8" x14ac:dyDescent="0.4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8" x14ac:dyDescent="0.4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8" x14ac:dyDescent="0.4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8" x14ac:dyDescent="0.4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8" x14ac:dyDescent="0.4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8" x14ac:dyDescent="0.4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8" x14ac:dyDescent="0.4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8" x14ac:dyDescent="0.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8" x14ac:dyDescent="0.4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8" x14ac:dyDescent="0.4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8" x14ac:dyDescent="0.4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8" x14ac:dyDescent="0.4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8" x14ac:dyDescent="0.4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8" x14ac:dyDescent="0.4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8" x14ac:dyDescent="0.4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8" x14ac:dyDescent="0.4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8" x14ac:dyDescent="0.4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8" x14ac:dyDescent="0.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8" x14ac:dyDescent="0.4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8" x14ac:dyDescent="0.4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8" x14ac:dyDescent="0.4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8" x14ac:dyDescent="0.4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8" x14ac:dyDescent="0.4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8" x14ac:dyDescent="0.4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8" x14ac:dyDescent="0.4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8" x14ac:dyDescent="0.4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8" x14ac:dyDescent="0.4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18" x14ac:dyDescent="0.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18" x14ac:dyDescent="0.4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ht="18" x14ac:dyDescent="0.4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 ht="18" x14ac:dyDescent="0.4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 spans="1:29" ht="18" x14ac:dyDescent="0.4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 ht="18" x14ac:dyDescent="0.4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 spans="1:29" ht="18" x14ac:dyDescent="0.4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 spans="1:29" ht="18" x14ac:dyDescent="0.4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29" ht="18" x14ac:dyDescent="0.4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 spans="1:29" ht="18" x14ac:dyDescent="0.4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 spans="1:29" ht="18" x14ac:dyDescent="0.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 spans="1:29" ht="18" x14ac:dyDescent="0.4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</row>
    <row r="1046" spans="1:29" ht="18" x14ac:dyDescent="0.4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 spans="1:29" ht="18" x14ac:dyDescent="0.4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 spans="1:29" ht="18" x14ac:dyDescent="0.4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</row>
    <row r="1049" spans="1:29" ht="18" x14ac:dyDescent="0.4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 spans="1:29" ht="18" x14ac:dyDescent="0.4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 spans="1:29" ht="18" x14ac:dyDescent="0.4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</row>
    <row r="1052" spans="1:29" ht="18" x14ac:dyDescent="0.4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</row>
    <row r="1053" spans="1:29" ht="18" x14ac:dyDescent="0.4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</row>
    <row r="1054" spans="1:29" ht="18" x14ac:dyDescent="0.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</row>
    <row r="1055" spans="1:29" ht="18" x14ac:dyDescent="0.4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</row>
    <row r="1056" spans="1:29" ht="18" x14ac:dyDescent="0.4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</row>
    <row r="1057" spans="1:29" ht="18" x14ac:dyDescent="0.4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</row>
    <row r="1058" spans="1:29" ht="18" x14ac:dyDescent="0.4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</row>
    <row r="1059" spans="1:29" ht="18" x14ac:dyDescent="0.4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</row>
    <row r="1060" spans="1:29" ht="18" x14ac:dyDescent="0.4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 spans="1:29" ht="18" x14ac:dyDescent="0.4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 ht="18" x14ac:dyDescent="0.4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</row>
    <row r="1063" spans="1:29" ht="18" x14ac:dyDescent="0.4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</row>
    <row r="1064" spans="1:29" ht="18" x14ac:dyDescent="0.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 ht="18" x14ac:dyDescent="0.4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 spans="1:29" ht="18" x14ac:dyDescent="0.4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</row>
    <row r="1067" spans="1:29" ht="18" x14ac:dyDescent="0.4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</row>
    <row r="1068" spans="1:29" ht="18" x14ac:dyDescent="0.4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</row>
    <row r="1069" spans="1:29" ht="18" x14ac:dyDescent="0.4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</row>
    <row r="1070" spans="1:29" ht="18" x14ac:dyDescent="0.4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 spans="1:29" ht="18" x14ac:dyDescent="0.4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 ht="18" x14ac:dyDescent="0.4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</row>
    <row r="1073" spans="1:29" ht="18" x14ac:dyDescent="0.4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</row>
    <row r="1074" spans="1:29" ht="18" x14ac:dyDescent="0.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</row>
    <row r="1075" spans="1:29" ht="18" x14ac:dyDescent="0.4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</row>
    <row r="1076" spans="1:29" ht="18" x14ac:dyDescent="0.4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</row>
    <row r="1077" spans="1:29" ht="18" x14ac:dyDescent="0.4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</row>
    <row r="1078" spans="1:29" ht="18" x14ac:dyDescent="0.4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</row>
    <row r="1079" spans="1:29" ht="18" x14ac:dyDescent="0.4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</row>
    <row r="1080" spans="1:29" ht="18" x14ac:dyDescent="0.4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</row>
    <row r="1081" spans="1:29" ht="18" x14ac:dyDescent="0.4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</row>
    <row r="1082" spans="1:29" ht="18" x14ac:dyDescent="0.4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</row>
    <row r="1083" spans="1:29" ht="18" x14ac:dyDescent="0.4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</row>
    <row r="1084" spans="1:29" ht="18" x14ac:dyDescent="0.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</row>
    <row r="1085" spans="1:29" ht="18" x14ac:dyDescent="0.4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</row>
    <row r="1086" spans="1:29" ht="18" x14ac:dyDescent="0.4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</row>
    <row r="1087" spans="1:29" ht="18" x14ac:dyDescent="0.4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</row>
    <row r="1088" spans="1:29" ht="18" x14ac:dyDescent="0.4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</row>
    <row r="1089" spans="1:29" ht="18" x14ac:dyDescent="0.4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</row>
    <row r="1090" spans="1:29" ht="18" x14ac:dyDescent="0.4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</row>
    <row r="1091" spans="1:29" ht="18" x14ac:dyDescent="0.4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</row>
    <row r="1092" spans="1:29" ht="18" x14ac:dyDescent="0.4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</row>
    <row r="1093" spans="1:29" ht="18" x14ac:dyDescent="0.4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</row>
    <row r="1094" spans="1:29" ht="18" x14ac:dyDescent="0.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</row>
    <row r="1095" spans="1:29" ht="18" x14ac:dyDescent="0.4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</row>
    <row r="1096" spans="1:29" ht="18" x14ac:dyDescent="0.4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</row>
    <row r="1097" spans="1:29" ht="18" x14ac:dyDescent="0.4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 spans="1:29" ht="18" x14ac:dyDescent="0.4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</row>
    <row r="1099" spans="1:29" ht="18" x14ac:dyDescent="0.4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</row>
    <row r="1100" spans="1:29" ht="18" x14ac:dyDescent="0.4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</row>
    <row r="1101" spans="1:29" ht="18" x14ac:dyDescent="0.4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</row>
    <row r="1102" spans="1:29" ht="18" x14ac:dyDescent="0.4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</row>
    <row r="1103" spans="1:29" ht="18" x14ac:dyDescent="0.4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</row>
    <row r="1104" spans="1:29" ht="18" x14ac:dyDescent="0.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</row>
    <row r="1105" spans="1:29" ht="18" x14ac:dyDescent="0.4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</row>
    <row r="1106" spans="1:29" ht="18" x14ac:dyDescent="0.4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29" ht="18" x14ac:dyDescent="0.4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</row>
    <row r="1108" spans="1:29" ht="18" x14ac:dyDescent="0.4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</row>
    <row r="1109" spans="1:29" ht="18" x14ac:dyDescent="0.4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</row>
    <row r="1110" spans="1:29" ht="18" x14ac:dyDescent="0.4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29" ht="18" x14ac:dyDescent="0.4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</row>
    <row r="1112" spans="1:29" ht="18" x14ac:dyDescent="0.4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</row>
    <row r="1113" spans="1:29" ht="18" x14ac:dyDescent="0.4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</row>
    <row r="1114" spans="1:29" ht="18" x14ac:dyDescent="0.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</row>
    <row r="1115" spans="1:29" ht="18" x14ac:dyDescent="0.4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</row>
    <row r="1116" spans="1:29" ht="18" x14ac:dyDescent="0.4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</row>
    <row r="1117" spans="1:29" ht="18" x14ac:dyDescent="0.4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</row>
    <row r="1118" spans="1:29" ht="18" x14ac:dyDescent="0.4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</row>
    <row r="1119" spans="1:29" ht="18" x14ac:dyDescent="0.4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</row>
    <row r="1120" spans="1:29" ht="18" x14ac:dyDescent="0.4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29" ht="18" x14ac:dyDescent="0.4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</row>
    <row r="1122" spans="1:29" ht="18" x14ac:dyDescent="0.4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</row>
    <row r="1123" spans="1:29" ht="18" x14ac:dyDescent="0.4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</row>
    <row r="1124" spans="1:29" ht="18" x14ac:dyDescent="0.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</row>
    <row r="1125" spans="1:29" ht="18" x14ac:dyDescent="0.4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</row>
    <row r="1126" spans="1:29" ht="18" x14ac:dyDescent="0.4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</row>
    <row r="1127" spans="1:29" ht="18" x14ac:dyDescent="0.4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 spans="1:29" ht="18" x14ac:dyDescent="0.4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 ht="18" x14ac:dyDescent="0.4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</row>
    <row r="1130" spans="1:29" ht="18" x14ac:dyDescent="0.4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</row>
    <row r="1131" spans="1:29" ht="18" x14ac:dyDescent="0.4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</row>
    <row r="1132" spans="1:29" ht="18" x14ac:dyDescent="0.4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</row>
    <row r="1133" spans="1:29" ht="18" x14ac:dyDescent="0.4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</row>
    <row r="1134" spans="1:29" ht="18" x14ac:dyDescent="0.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</row>
    <row r="1135" spans="1:29" ht="18" x14ac:dyDescent="0.4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</row>
    <row r="1136" spans="1:29" ht="18" x14ac:dyDescent="0.4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</row>
    <row r="1137" spans="1:29" ht="18" x14ac:dyDescent="0.4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</row>
    <row r="1138" spans="1:29" ht="18" x14ac:dyDescent="0.4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</row>
    <row r="1139" spans="1:29" ht="18" x14ac:dyDescent="0.4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</row>
    <row r="1140" spans="1:29" ht="18" x14ac:dyDescent="0.4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 spans="1:29" ht="18" x14ac:dyDescent="0.4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</row>
    <row r="1142" spans="1:29" ht="18" x14ac:dyDescent="0.4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</row>
    <row r="1143" spans="1:29" ht="18" x14ac:dyDescent="0.4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</row>
    <row r="1144" spans="1:29" ht="18" x14ac:dyDescent="0.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</row>
    <row r="1145" spans="1:29" ht="18" x14ac:dyDescent="0.4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</row>
    <row r="1146" spans="1:29" ht="18" x14ac:dyDescent="0.4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</row>
    <row r="1147" spans="1:29" ht="18" x14ac:dyDescent="0.4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</row>
    <row r="1148" spans="1:29" ht="18" x14ac:dyDescent="0.4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</row>
    <row r="1149" spans="1:29" ht="18" x14ac:dyDescent="0.4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</row>
    <row r="1150" spans="1:29" ht="18" x14ac:dyDescent="0.4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</row>
    <row r="1151" spans="1:29" ht="18" x14ac:dyDescent="0.4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</row>
    <row r="1152" spans="1:29" ht="18" x14ac:dyDescent="0.4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</row>
    <row r="1153" spans="1:29" ht="18" x14ac:dyDescent="0.4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</row>
    <row r="1154" spans="1:29" ht="18" x14ac:dyDescent="0.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</row>
    <row r="1155" spans="1:29" ht="18" x14ac:dyDescent="0.4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</row>
    <row r="1156" spans="1:29" ht="18" x14ac:dyDescent="0.4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</row>
    <row r="1157" spans="1:29" ht="18" x14ac:dyDescent="0.4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</row>
    <row r="1158" spans="1:29" ht="18" x14ac:dyDescent="0.4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</row>
    <row r="1159" spans="1:29" ht="18" x14ac:dyDescent="0.4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</row>
    <row r="1160" spans="1:29" ht="18" x14ac:dyDescent="0.4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</row>
    <row r="1161" spans="1:29" ht="18" x14ac:dyDescent="0.4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</row>
    <row r="1162" spans="1:29" ht="18" x14ac:dyDescent="0.4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</row>
    <row r="1163" spans="1:29" ht="18" x14ac:dyDescent="0.4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</row>
    <row r="1164" spans="1:29" ht="18" x14ac:dyDescent="0.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</row>
    <row r="1165" spans="1:29" ht="18" x14ac:dyDescent="0.4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</row>
    <row r="1166" spans="1:29" ht="18" x14ac:dyDescent="0.4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</row>
    <row r="1167" spans="1:29" ht="18" x14ac:dyDescent="0.4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</row>
    <row r="1168" spans="1:29" ht="18" x14ac:dyDescent="0.4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</row>
    <row r="1169" spans="1:29" ht="18" x14ac:dyDescent="0.4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</row>
    <row r="1170" spans="1:29" ht="18" x14ac:dyDescent="0.4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</row>
    <row r="1171" spans="1:29" ht="18" x14ac:dyDescent="0.4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</row>
    <row r="1172" spans="1:29" ht="18" x14ac:dyDescent="0.4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</row>
    <row r="1173" spans="1:29" ht="18" x14ac:dyDescent="0.4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</row>
    <row r="1174" spans="1:29" ht="18" x14ac:dyDescent="0.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</row>
    <row r="1175" spans="1:29" ht="18" x14ac:dyDescent="0.4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</row>
    <row r="1176" spans="1:29" ht="18" x14ac:dyDescent="0.4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</row>
    <row r="1177" spans="1:29" ht="18" x14ac:dyDescent="0.4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</row>
    <row r="1178" spans="1:29" ht="18" x14ac:dyDescent="0.4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</row>
    <row r="1179" spans="1:29" ht="18" x14ac:dyDescent="0.4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</row>
    <row r="1180" spans="1:29" ht="18" x14ac:dyDescent="0.4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</row>
    <row r="1181" spans="1:29" ht="18" x14ac:dyDescent="0.4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</row>
    <row r="1182" spans="1:29" ht="18" x14ac:dyDescent="0.4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</row>
    <row r="1183" spans="1:29" ht="18" x14ac:dyDescent="0.4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</row>
    <row r="1184" spans="1:29" ht="18" x14ac:dyDescent="0.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</row>
    <row r="1185" spans="1:29" ht="18" x14ac:dyDescent="0.4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</row>
    <row r="1186" spans="1:29" ht="18" x14ac:dyDescent="0.4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</row>
    <row r="1187" spans="1:29" ht="18" x14ac:dyDescent="0.4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</row>
    <row r="1188" spans="1:29" ht="18" x14ac:dyDescent="0.4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</row>
    <row r="1189" spans="1:29" ht="18" x14ac:dyDescent="0.4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</row>
    <row r="1190" spans="1:29" ht="18" x14ac:dyDescent="0.4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</row>
    <row r="1191" spans="1:29" ht="18" x14ac:dyDescent="0.4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</row>
    <row r="1192" spans="1:29" ht="18" x14ac:dyDescent="0.4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</row>
    <row r="1193" spans="1:29" ht="18" x14ac:dyDescent="0.4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</row>
    <row r="1194" spans="1:29" ht="18" x14ac:dyDescent="0.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</row>
    <row r="1195" spans="1:29" ht="18" x14ac:dyDescent="0.4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</row>
    <row r="1196" spans="1:29" ht="18" x14ac:dyDescent="0.4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</row>
    <row r="1197" spans="1:29" ht="18" x14ac:dyDescent="0.4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</row>
    <row r="1198" spans="1:29" ht="18" x14ac:dyDescent="0.4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</row>
    <row r="1199" spans="1:29" ht="18" x14ac:dyDescent="0.4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</row>
    <row r="1200" spans="1:29" ht="18" x14ac:dyDescent="0.4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</row>
    <row r="1201" spans="1:29" ht="18" x14ac:dyDescent="0.4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</row>
    <row r="1202" spans="1:29" ht="18" x14ac:dyDescent="0.4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</row>
    <row r="1203" spans="1:29" ht="18" x14ac:dyDescent="0.4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</row>
    <row r="1204" spans="1:29" ht="18" x14ac:dyDescent="0.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</row>
    <row r="1205" spans="1:29" ht="18" x14ac:dyDescent="0.4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</row>
    <row r="1206" spans="1:29" ht="18" x14ac:dyDescent="0.4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</row>
    <row r="1207" spans="1:29" ht="18" x14ac:dyDescent="0.4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</row>
    <row r="1208" spans="1:29" ht="18" x14ac:dyDescent="0.4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</row>
    <row r="1209" spans="1:29" ht="18" x14ac:dyDescent="0.4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</row>
    <row r="1210" spans="1:29" ht="18" x14ac:dyDescent="0.4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</row>
    <row r="1211" spans="1:29" ht="18" x14ac:dyDescent="0.4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</row>
    <row r="1212" spans="1:29" ht="18" x14ac:dyDescent="0.4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</row>
    <row r="1213" spans="1:29" ht="18" x14ac:dyDescent="0.4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</row>
    <row r="1214" spans="1:29" ht="18" x14ac:dyDescent="0.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</row>
    <row r="1215" spans="1:29" ht="18" x14ac:dyDescent="0.4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</row>
    <row r="1216" spans="1:29" ht="18" x14ac:dyDescent="0.4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</row>
    <row r="1217" spans="1:29" ht="18" x14ac:dyDescent="0.4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</row>
    <row r="1218" spans="1:29" ht="18" x14ac:dyDescent="0.4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</row>
    <row r="1219" spans="1:29" ht="18" x14ac:dyDescent="0.4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</row>
    <row r="1220" spans="1:29" ht="18" x14ac:dyDescent="0.4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</row>
    <row r="1221" spans="1:29" ht="18" x14ac:dyDescent="0.4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</row>
    <row r="1222" spans="1:29" ht="18" x14ac:dyDescent="0.4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</row>
    <row r="1223" spans="1:29" ht="18" x14ac:dyDescent="0.4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</row>
    <row r="1224" spans="1:29" ht="18" x14ac:dyDescent="0.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</row>
    <row r="1225" spans="1:29" ht="18" x14ac:dyDescent="0.4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</row>
    <row r="1226" spans="1:29" ht="18" x14ac:dyDescent="0.4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</row>
    <row r="1227" spans="1:29" ht="18" x14ac:dyDescent="0.4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</row>
    <row r="1228" spans="1:29" ht="18" x14ac:dyDescent="0.4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</row>
    <row r="1229" spans="1:29" ht="18" x14ac:dyDescent="0.4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</row>
    <row r="1230" spans="1:29" ht="18" x14ac:dyDescent="0.4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</row>
    <row r="1231" spans="1:29" ht="18" x14ac:dyDescent="0.4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</row>
    <row r="1232" spans="1:29" ht="18" x14ac:dyDescent="0.4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</row>
    <row r="1233" spans="1:29" ht="18" x14ac:dyDescent="0.4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</row>
    <row r="1234" spans="1:29" ht="18" x14ac:dyDescent="0.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</row>
    <row r="1235" spans="1:29" ht="18" x14ac:dyDescent="0.4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</row>
    <row r="1236" spans="1:29" ht="18" x14ac:dyDescent="0.4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</row>
    <row r="1237" spans="1:29" ht="18" x14ac:dyDescent="0.4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</row>
    <row r="1238" spans="1:29" ht="18" x14ac:dyDescent="0.4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</row>
    <row r="1239" spans="1:29" ht="18" x14ac:dyDescent="0.4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</row>
    <row r="1240" spans="1:29" ht="18" x14ac:dyDescent="0.4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</row>
    <row r="1241" spans="1:29" ht="18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</row>
    <row r="1242" spans="1:29" ht="18" x14ac:dyDescent="0.4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</row>
    <row r="1243" spans="1:29" ht="18" x14ac:dyDescent="0.4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</row>
    <row r="1244" spans="1:29" ht="18" x14ac:dyDescent="0.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</row>
    <row r="1245" spans="1:29" ht="18" x14ac:dyDescent="0.4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</row>
    <row r="1246" spans="1:29" ht="18" x14ac:dyDescent="0.4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</row>
    <row r="1247" spans="1:29" ht="18" x14ac:dyDescent="0.4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</row>
    <row r="1248" spans="1:29" ht="18" x14ac:dyDescent="0.4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</row>
    <row r="1249" spans="1:29" ht="18" x14ac:dyDescent="0.4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</row>
    <row r="1250" spans="1:29" ht="18" x14ac:dyDescent="0.4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</row>
    <row r="1251" spans="1:29" ht="18" x14ac:dyDescent="0.4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</row>
    <row r="1252" spans="1:29" ht="18" x14ac:dyDescent="0.4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ht="18" x14ac:dyDescent="0.4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ht="18" x14ac:dyDescent="0.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ht="18" x14ac:dyDescent="0.4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ht="18" x14ac:dyDescent="0.4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ht="18" x14ac:dyDescent="0.4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ht="18" x14ac:dyDescent="0.4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ht="18" x14ac:dyDescent="0.4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ht="18" x14ac:dyDescent="0.4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ht="18" x14ac:dyDescent="0.4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ht="18" x14ac:dyDescent="0.4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ht="18" x14ac:dyDescent="0.4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ht="18" x14ac:dyDescent="0.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 ht="18" x14ac:dyDescent="0.4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ht="18" x14ac:dyDescent="0.4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  <row r="1267" spans="1:29" ht="18" x14ac:dyDescent="0.4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</row>
    <row r="1268" spans="1:29" ht="18" x14ac:dyDescent="0.4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</row>
    <row r="1269" spans="1:29" ht="18" x14ac:dyDescent="0.4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</row>
    <row r="1270" spans="1:29" ht="18" x14ac:dyDescent="0.4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</row>
    <row r="1271" spans="1:29" ht="18" x14ac:dyDescent="0.4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</row>
    <row r="1272" spans="1:29" ht="18" x14ac:dyDescent="0.4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</row>
    <row r="1273" spans="1:29" ht="18" x14ac:dyDescent="0.4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</row>
    <row r="1274" spans="1:29" ht="18" x14ac:dyDescent="0.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</row>
    <row r="1275" spans="1:29" ht="18" x14ac:dyDescent="0.4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</row>
    <row r="1276" spans="1:29" ht="18" x14ac:dyDescent="0.4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</row>
    <row r="1277" spans="1:29" ht="18" x14ac:dyDescent="0.4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</row>
    <row r="1278" spans="1:29" ht="18" x14ac:dyDescent="0.4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</row>
    <row r="1279" spans="1:29" ht="18" x14ac:dyDescent="0.4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</row>
    <row r="1280" spans="1:29" ht="18" x14ac:dyDescent="0.4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</row>
    <row r="1281" spans="1:29" ht="18" x14ac:dyDescent="0.4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</row>
    <row r="1282" spans="1:29" ht="18" x14ac:dyDescent="0.4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</row>
    <row r="1283" spans="1:29" ht="18" x14ac:dyDescent="0.4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</row>
    <row r="1284" spans="1:29" ht="18" x14ac:dyDescent="0.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</row>
    <row r="1285" spans="1:29" ht="18" x14ac:dyDescent="0.4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</row>
    <row r="1286" spans="1:29" ht="18" x14ac:dyDescent="0.4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</row>
    <row r="1287" spans="1:29" ht="18" x14ac:dyDescent="0.4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</row>
    <row r="1288" spans="1:29" ht="18" x14ac:dyDescent="0.4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</row>
    <row r="1289" spans="1:29" ht="18" x14ac:dyDescent="0.4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</row>
    <row r="1290" spans="1:29" ht="18" x14ac:dyDescent="0.4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</row>
    <row r="1291" spans="1:29" ht="18" x14ac:dyDescent="0.4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</row>
    <row r="1292" spans="1:29" ht="18" x14ac:dyDescent="0.4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</row>
    <row r="1293" spans="1:29" ht="18" x14ac:dyDescent="0.4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</row>
    <row r="1294" spans="1:29" ht="18" x14ac:dyDescent="0.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</row>
    <row r="1295" spans="1:29" ht="18" x14ac:dyDescent="0.4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</row>
    <row r="1296" spans="1:29" ht="18" x14ac:dyDescent="0.4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</row>
    <row r="1297" spans="1:29" ht="18" x14ac:dyDescent="0.4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</row>
    <row r="1298" spans="1:29" ht="18" x14ac:dyDescent="0.4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</row>
    <row r="1299" spans="1:29" ht="18" x14ac:dyDescent="0.4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</row>
    <row r="1300" spans="1:29" ht="18" x14ac:dyDescent="0.4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</row>
    <row r="1301" spans="1:29" ht="18" x14ac:dyDescent="0.4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</row>
    <row r="1302" spans="1:29" ht="18" x14ac:dyDescent="0.4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</row>
    <row r="1303" spans="1:29" ht="18" x14ac:dyDescent="0.4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</row>
    <row r="1304" spans="1:29" ht="18" x14ac:dyDescent="0.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</row>
    <row r="1305" spans="1:29" ht="18" x14ac:dyDescent="0.4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</row>
    <row r="1306" spans="1:29" ht="18" x14ac:dyDescent="0.4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</row>
    <row r="1307" spans="1:29" ht="18" x14ac:dyDescent="0.4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</row>
    <row r="1308" spans="1:29" ht="18" x14ac:dyDescent="0.4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</row>
    <row r="1309" spans="1:29" ht="18" x14ac:dyDescent="0.4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</row>
    <row r="1310" spans="1:29" ht="18" x14ac:dyDescent="0.4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</row>
    <row r="1311" spans="1:29" ht="18" x14ac:dyDescent="0.4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</row>
    <row r="1312" spans="1:29" ht="18" x14ac:dyDescent="0.4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</row>
    <row r="1313" spans="1:29" ht="18" x14ac:dyDescent="0.4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</row>
    <row r="1314" spans="1:29" ht="18" x14ac:dyDescent="0.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</row>
    <row r="1315" spans="1:29" ht="18" x14ac:dyDescent="0.4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</row>
    <row r="1316" spans="1:29" ht="18" x14ac:dyDescent="0.4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</row>
    <row r="1317" spans="1:29" ht="18" x14ac:dyDescent="0.4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</row>
    <row r="1318" spans="1:29" ht="18" x14ac:dyDescent="0.4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</row>
    <row r="1319" spans="1:29" ht="18" x14ac:dyDescent="0.4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</row>
    <row r="1320" spans="1:29" ht="18" x14ac:dyDescent="0.4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</row>
    <row r="1321" spans="1:29" ht="18" x14ac:dyDescent="0.4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</row>
    <row r="1322" spans="1:29" ht="18" x14ac:dyDescent="0.4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</row>
    <row r="1323" spans="1:29" ht="18" x14ac:dyDescent="0.4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</row>
    <row r="1324" spans="1:29" ht="18" x14ac:dyDescent="0.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</row>
    <row r="1325" spans="1:29" ht="18" x14ac:dyDescent="0.4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</row>
    <row r="1326" spans="1:29" ht="18" x14ac:dyDescent="0.4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</row>
    <row r="1327" spans="1:29" ht="18" x14ac:dyDescent="0.4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</row>
    <row r="1328" spans="1:29" ht="18" x14ac:dyDescent="0.4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</row>
    <row r="1329" spans="1:29" ht="18" x14ac:dyDescent="0.4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</row>
    <row r="1330" spans="1:29" ht="18" x14ac:dyDescent="0.4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</row>
    <row r="1331" spans="1:29" ht="18" x14ac:dyDescent="0.4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</row>
    <row r="1332" spans="1:29" ht="18" x14ac:dyDescent="0.4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</row>
    <row r="1333" spans="1:29" ht="18" x14ac:dyDescent="0.4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</row>
    <row r="1334" spans="1:29" ht="18" x14ac:dyDescent="0.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</row>
    <row r="1335" spans="1:29" ht="18" x14ac:dyDescent="0.4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</row>
    <row r="1336" spans="1:29" ht="18" x14ac:dyDescent="0.4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</row>
    <row r="1337" spans="1:29" ht="18" x14ac:dyDescent="0.4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</row>
    <row r="1338" spans="1:29" ht="18" x14ac:dyDescent="0.4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</row>
    <row r="1339" spans="1:29" ht="18" x14ac:dyDescent="0.4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</row>
    <row r="1340" spans="1:29" ht="18" x14ac:dyDescent="0.4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</row>
    <row r="1341" spans="1:29" ht="18" x14ac:dyDescent="0.4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</row>
    <row r="1342" spans="1:29" ht="18" x14ac:dyDescent="0.4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</row>
    <row r="1343" spans="1:29" ht="18" x14ac:dyDescent="0.4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</row>
    <row r="1344" spans="1:29" ht="18" x14ac:dyDescent="0.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</row>
    <row r="1345" spans="1:29" ht="18" x14ac:dyDescent="0.4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</row>
    <row r="1346" spans="1:29" ht="18" x14ac:dyDescent="0.4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</row>
    <row r="1347" spans="1:29" ht="18" x14ac:dyDescent="0.4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</row>
    <row r="1348" spans="1:29" ht="18" x14ac:dyDescent="0.4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</row>
    <row r="1349" spans="1:29" ht="18" x14ac:dyDescent="0.4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</row>
    <row r="1350" spans="1:29" ht="18" x14ac:dyDescent="0.4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</row>
    <row r="1351" spans="1:29" ht="18" x14ac:dyDescent="0.4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</row>
    <row r="1352" spans="1:29" ht="18" x14ac:dyDescent="0.4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</row>
    <row r="1353" spans="1:29" ht="18" x14ac:dyDescent="0.4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</row>
    <row r="1354" spans="1:29" ht="18" x14ac:dyDescent="0.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</row>
    <row r="1355" spans="1:29" ht="18" x14ac:dyDescent="0.4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</row>
    <row r="1356" spans="1:29" ht="18" x14ac:dyDescent="0.4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</row>
    <row r="1357" spans="1:29" ht="18" x14ac:dyDescent="0.4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</row>
    <row r="1358" spans="1:29" ht="18" x14ac:dyDescent="0.4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</row>
    <row r="1359" spans="1:29" ht="18" x14ac:dyDescent="0.4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</row>
    <row r="1360" spans="1:29" ht="18" x14ac:dyDescent="0.4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</row>
    <row r="1361" spans="1:29" ht="18" x14ac:dyDescent="0.4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</row>
    <row r="1362" spans="1:29" ht="18" x14ac:dyDescent="0.4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</row>
    <row r="1363" spans="1:29" ht="18" x14ac:dyDescent="0.4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</row>
    <row r="1364" spans="1:29" ht="18" x14ac:dyDescent="0.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</row>
    <row r="1365" spans="1:29" ht="18" x14ac:dyDescent="0.4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</row>
    <row r="1366" spans="1:29" ht="18" x14ac:dyDescent="0.4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</row>
    <row r="1367" spans="1:29" ht="18" x14ac:dyDescent="0.4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</row>
    <row r="1368" spans="1:29" ht="18" x14ac:dyDescent="0.4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</row>
    <row r="1369" spans="1:29" ht="18" x14ac:dyDescent="0.4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</row>
    <row r="1370" spans="1:29" ht="18" x14ac:dyDescent="0.4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</row>
    <row r="1371" spans="1:29" ht="18" x14ac:dyDescent="0.4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</row>
    <row r="1372" spans="1:29" ht="18" x14ac:dyDescent="0.4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</row>
    <row r="1373" spans="1:29" ht="18" x14ac:dyDescent="0.4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</row>
    <row r="1374" spans="1:29" ht="18" x14ac:dyDescent="0.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</row>
    <row r="1375" spans="1:29" ht="18" x14ac:dyDescent="0.4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</row>
    <row r="1376" spans="1:29" ht="18" x14ac:dyDescent="0.4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</row>
    <row r="1377" spans="1:29" ht="18" x14ac:dyDescent="0.4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</row>
    <row r="1378" spans="1:29" ht="18" x14ac:dyDescent="0.4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</row>
    <row r="1379" spans="1:29" ht="18" x14ac:dyDescent="0.4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</row>
    <row r="1380" spans="1:29" ht="18" x14ac:dyDescent="0.4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</row>
    <row r="1381" spans="1:29" ht="18" x14ac:dyDescent="0.4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</row>
    <row r="1382" spans="1:29" ht="18" x14ac:dyDescent="0.4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</row>
    <row r="1383" spans="1:29" ht="18" x14ac:dyDescent="0.4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</row>
    <row r="1384" spans="1:29" ht="18" x14ac:dyDescent="0.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</row>
    <row r="1385" spans="1:29" ht="18" x14ac:dyDescent="0.4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</row>
    <row r="1386" spans="1:29" ht="18" x14ac:dyDescent="0.4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</row>
    <row r="1387" spans="1:29" ht="18" x14ac:dyDescent="0.4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</row>
    <row r="1388" spans="1:29" ht="18" x14ac:dyDescent="0.4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</row>
    <row r="1389" spans="1:29" ht="18" x14ac:dyDescent="0.4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</row>
    <row r="1390" spans="1:29" ht="18" x14ac:dyDescent="0.4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</row>
    <row r="1391" spans="1:29" ht="18" x14ac:dyDescent="0.4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</row>
    <row r="1392" spans="1:29" ht="18" x14ac:dyDescent="0.4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</row>
    <row r="1393" spans="1:29" ht="18" x14ac:dyDescent="0.4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</row>
    <row r="1394" spans="1:29" ht="18" x14ac:dyDescent="0.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</row>
    <row r="1395" spans="1:29" ht="18" x14ac:dyDescent="0.4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</row>
    <row r="1396" spans="1:29" ht="18" x14ac:dyDescent="0.4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</row>
    <row r="1397" spans="1:29" ht="18" x14ac:dyDescent="0.4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</row>
    <row r="1398" spans="1:29" ht="18" x14ac:dyDescent="0.4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</row>
    <row r="1399" spans="1:29" ht="18" x14ac:dyDescent="0.4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</row>
    <row r="1400" spans="1:29" ht="18" x14ac:dyDescent="0.4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</row>
    <row r="1401" spans="1:29" ht="18" x14ac:dyDescent="0.4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</row>
    <row r="1402" spans="1:29" ht="18" x14ac:dyDescent="0.4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</row>
    <row r="1403" spans="1:29" ht="18" x14ac:dyDescent="0.4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</row>
    <row r="1404" spans="1:29" ht="18" x14ac:dyDescent="0.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</row>
    <row r="1405" spans="1:29" ht="18" x14ac:dyDescent="0.4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</row>
    <row r="1406" spans="1:29" ht="18" x14ac:dyDescent="0.4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</row>
    <row r="1407" spans="1:29" ht="18" x14ac:dyDescent="0.4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</row>
    <row r="1408" spans="1:29" ht="18" x14ac:dyDescent="0.4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</row>
    <row r="1409" spans="1:29" ht="18" x14ac:dyDescent="0.4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</row>
    <row r="1410" spans="1:29" ht="18" x14ac:dyDescent="0.4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</row>
    <row r="1411" spans="1:29" ht="18" x14ac:dyDescent="0.4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</row>
    <row r="1412" spans="1:29" ht="18" x14ac:dyDescent="0.4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</row>
    <row r="1413" spans="1:29" ht="18" x14ac:dyDescent="0.4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</row>
    <row r="1414" spans="1:29" ht="18" x14ac:dyDescent="0.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</row>
    <row r="1415" spans="1:29" ht="18" x14ac:dyDescent="0.4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</row>
    <row r="1416" spans="1:29" ht="18" x14ac:dyDescent="0.4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</row>
    <row r="1417" spans="1:29" ht="18" x14ac:dyDescent="0.4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</row>
    <row r="1418" spans="1:29" ht="18" x14ac:dyDescent="0.4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</row>
    <row r="1419" spans="1:29" ht="18" x14ac:dyDescent="0.4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</row>
    <row r="1420" spans="1:29" ht="18" x14ac:dyDescent="0.4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</row>
    <row r="1421" spans="1:29" ht="18" x14ac:dyDescent="0.4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</row>
    <row r="1422" spans="1:29" ht="18" x14ac:dyDescent="0.4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</row>
    <row r="1423" spans="1:29" ht="18" x14ac:dyDescent="0.4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</row>
    <row r="1424" spans="1:29" ht="18" x14ac:dyDescent="0.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</row>
    <row r="1425" spans="1:29" ht="18" x14ac:dyDescent="0.4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</row>
    <row r="1426" spans="1:29" ht="18" x14ac:dyDescent="0.4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</row>
    <row r="1427" spans="1:29" ht="18" x14ac:dyDescent="0.4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</row>
    <row r="1428" spans="1:29" ht="18" x14ac:dyDescent="0.4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</row>
    <row r="1429" spans="1:29" ht="18" x14ac:dyDescent="0.4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</row>
    <row r="1430" spans="1:29" ht="18" x14ac:dyDescent="0.4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</row>
    <row r="1431" spans="1:29" ht="18" x14ac:dyDescent="0.4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</row>
    <row r="1432" spans="1:29" ht="18" x14ac:dyDescent="0.4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</row>
    <row r="1433" spans="1:29" ht="18" x14ac:dyDescent="0.4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</row>
    <row r="1434" spans="1:29" ht="18" x14ac:dyDescent="0.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</row>
    <row r="1435" spans="1:29" ht="18" x14ac:dyDescent="0.4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</row>
    <row r="1436" spans="1:29" ht="18" x14ac:dyDescent="0.4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</row>
    <row r="1437" spans="1:29" ht="18" x14ac:dyDescent="0.4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</row>
    <row r="1438" spans="1:29" ht="18" x14ac:dyDescent="0.4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</row>
    <row r="1439" spans="1:29" ht="18" x14ac:dyDescent="0.4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</row>
    <row r="1440" spans="1:29" ht="18" x14ac:dyDescent="0.4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</row>
    <row r="1441" spans="1:29" ht="18" x14ac:dyDescent="0.4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</row>
    <row r="1442" spans="1:29" ht="18" x14ac:dyDescent="0.4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</row>
    <row r="1443" spans="1:29" ht="18" x14ac:dyDescent="0.4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</row>
    <row r="1444" spans="1:29" ht="18" x14ac:dyDescent="0.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</row>
    <row r="1445" spans="1:29" ht="18" x14ac:dyDescent="0.4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</row>
    <row r="1446" spans="1:29" ht="18" x14ac:dyDescent="0.4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</row>
    <row r="1447" spans="1:29" ht="18" x14ac:dyDescent="0.4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</row>
    <row r="1448" spans="1:29" ht="18" x14ac:dyDescent="0.4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</row>
    <row r="1449" spans="1:29" ht="18" x14ac:dyDescent="0.4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</row>
    <row r="1450" spans="1:29" ht="18" x14ac:dyDescent="0.4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</row>
    <row r="1451" spans="1:29" ht="18" x14ac:dyDescent="0.4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</row>
    <row r="1452" spans="1:29" ht="18" x14ac:dyDescent="0.4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</row>
    <row r="1453" spans="1:29" ht="18" x14ac:dyDescent="0.4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</row>
    <row r="1454" spans="1:29" ht="18" x14ac:dyDescent="0.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</row>
    <row r="1455" spans="1:29" ht="18" x14ac:dyDescent="0.4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</row>
    <row r="1456" spans="1:29" ht="18" x14ac:dyDescent="0.4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</row>
    <row r="1457" spans="1:29" ht="18" x14ac:dyDescent="0.4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</row>
    <row r="1458" spans="1:29" ht="18" x14ac:dyDescent="0.4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</row>
    <row r="1459" spans="1:29" ht="18" x14ac:dyDescent="0.4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</row>
    <row r="1460" spans="1:29" ht="18" x14ac:dyDescent="0.4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</row>
    <row r="1461" spans="1:29" ht="18" x14ac:dyDescent="0.4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</row>
    <row r="1462" spans="1:29" ht="18" x14ac:dyDescent="0.4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</row>
    <row r="1463" spans="1:29" ht="18" x14ac:dyDescent="0.4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</row>
    <row r="1464" spans="1:29" ht="18" x14ac:dyDescent="0.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</row>
    <row r="1465" spans="1:29" ht="18" x14ac:dyDescent="0.4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</row>
    <row r="1466" spans="1:29" ht="18" x14ac:dyDescent="0.4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</row>
    <row r="1467" spans="1:29" ht="18" x14ac:dyDescent="0.4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</row>
    <row r="1468" spans="1:29" ht="18" x14ac:dyDescent="0.4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</row>
    <row r="1469" spans="1:29" ht="18" x14ac:dyDescent="0.4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</row>
    <row r="1470" spans="1:29" ht="18" x14ac:dyDescent="0.4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</row>
    <row r="1471" spans="1:29" ht="18" x14ac:dyDescent="0.4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</row>
    <row r="1472" spans="1:29" ht="18" x14ac:dyDescent="0.4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</row>
    <row r="1473" spans="1:29" ht="18" x14ac:dyDescent="0.4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</row>
    <row r="1474" spans="1:29" ht="18" x14ac:dyDescent="0.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</row>
    <row r="1475" spans="1:29" ht="18" x14ac:dyDescent="0.4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</row>
    <row r="1476" spans="1:29" ht="18" x14ac:dyDescent="0.4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</row>
    <row r="1477" spans="1:29" ht="18" x14ac:dyDescent="0.4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</row>
    <row r="1478" spans="1:29" ht="18" x14ac:dyDescent="0.4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</row>
    <row r="1479" spans="1:29" ht="18" x14ac:dyDescent="0.4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</row>
    <row r="1480" spans="1:29" ht="18" x14ac:dyDescent="0.4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</row>
    <row r="1481" spans="1:29" ht="18" x14ac:dyDescent="0.4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</row>
    <row r="1482" spans="1:29" ht="18" x14ac:dyDescent="0.4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</row>
    <row r="1483" spans="1:29" ht="18" x14ac:dyDescent="0.4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</row>
    <row r="1484" spans="1:29" ht="18" x14ac:dyDescent="0.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</row>
    <row r="1485" spans="1:29" ht="18" x14ac:dyDescent="0.4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</row>
    <row r="1486" spans="1:29" ht="18" x14ac:dyDescent="0.4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</row>
    <row r="1487" spans="1:29" ht="18" x14ac:dyDescent="0.4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</row>
    <row r="1488" spans="1:29" ht="18" x14ac:dyDescent="0.4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</row>
    <row r="1489" spans="1:29" ht="18" x14ac:dyDescent="0.4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</row>
    <row r="1490" spans="1:29" ht="18" x14ac:dyDescent="0.4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</row>
    <row r="1491" spans="1:29" ht="18" x14ac:dyDescent="0.4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</row>
    <row r="1492" spans="1:29" ht="18" x14ac:dyDescent="0.4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</row>
    <row r="1493" spans="1:29" ht="18" x14ac:dyDescent="0.4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</row>
    <row r="1494" spans="1:29" ht="18" x14ac:dyDescent="0.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</row>
    <row r="1495" spans="1:29" ht="18" x14ac:dyDescent="0.4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</row>
    <row r="1496" spans="1:29" ht="18" x14ac:dyDescent="0.4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</row>
    <row r="1497" spans="1:29" ht="18" x14ac:dyDescent="0.4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</row>
    <row r="1498" spans="1:29" ht="18" x14ac:dyDescent="0.4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</row>
    <row r="1499" spans="1:29" ht="18" x14ac:dyDescent="0.4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</row>
    <row r="1500" spans="1:29" ht="18" x14ac:dyDescent="0.4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</row>
    <row r="1501" spans="1:29" ht="18" x14ac:dyDescent="0.4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</row>
    <row r="1502" spans="1:29" ht="18" x14ac:dyDescent="0.4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</row>
    <row r="1503" spans="1:29" ht="18" x14ac:dyDescent="0.4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</row>
    <row r="1504" spans="1:29" ht="18" x14ac:dyDescent="0.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</row>
    <row r="1505" spans="1:29" ht="18" x14ac:dyDescent="0.4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</row>
    <row r="1506" spans="1:29" ht="18" x14ac:dyDescent="0.4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</row>
    <row r="1507" spans="1:29" ht="18" x14ac:dyDescent="0.4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</row>
    <row r="1508" spans="1:29" ht="18" x14ac:dyDescent="0.4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</row>
    <row r="1509" spans="1:29" ht="18" x14ac:dyDescent="0.4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</row>
    <row r="1510" spans="1:29" ht="18" x14ac:dyDescent="0.4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</row>
    <row r="1511" spans="1:29" ht="18" x14ac:dyDescent="0.4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</row>
    <row r="1512" spans="1:29" ht="18" x14ac:dyDescent="0.4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</row>
    <row r="1513" spans="1:29" ht="18" x14ac:dyDescent="0.4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</row>
    <row r="1514" spans="1:29" ht="18" x14ac:dyDescent="0.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</row>
    <row r="1515" spans="1:29" ht="18" x14ac:dyDescent="0.4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</row>
    <row r="1516" spans="1:29" ht="18" x14ac:dyDescent="0.4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</row>
    <row r="1517" spans="1:29" ht="18" x14ac:dyDescent="0.4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</row>
    <row r="1518" spans="1:29" ht="18" x14ac:dyDescent="0.4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</row>
    <row r="1519" spans="1:29" ht="18" x14ac:dyDescent="0.4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</row>
    <row r="1520" spans="1:29" ht="18" x14ac:dyDescent="0.4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</row>
    <row r="1521" spans="1:29" ht="18" x14ac:dyDescent="0.4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</row>
    <row r="1522" spans="1:29" ht="18" x14ac:dyDescent="0.4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</row>
    <row r="1523" spans="1:29" ht="18" x14ac:dyDescent="0.4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</row>
    <row r="1524" spans="1:29" ht="18" x14ac:dyDescent="0.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</row>
    <row r="1525" spans="1:29" ht="18" x14ac:dyDescent="0.4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</row>
    <row r="1526" spans="1:29" ht="18" x14ac:dyDescent="0.4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</row>
    <row r="1527" spans="1:29" ht="18" x14ac:dyDescent="0.4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</row>
    <row r="1528" spans="1:29" ht="18" x14ac:dyDescent="0.4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</row>
    <row r="1529" spans="1:29" ht="18" x14ac:dyDescent="0.4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</row>
    <row r="1530" spans="1:29" ht="18" x14ac:dyDescent="0.4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</row>
    <row r="1531" spans="1:29" ht="18" x14ac:dyDescent="0.4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</row>
    <row r="1532" spans="1:29" ht="18" x14ac:dyDescent="0.4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</row>
    <row r="1533" spans="1:29" ht="18" x14ac:dyDescent="0.4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</row>
    <row r="1534" spans="1:29" ht="18" x14ac:dyDescent="0.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</row>
    <row r="1535" spans="1:29" ht="18" x14ac:dyDescent="0.4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</row>
    <row r="1536" spans="1:29" ht="18" x14ac:dyDescent="0.4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</row>
    <row r="1537" spans="1:29" ht="18" x14ac:dyDescent="0.4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</row>
    <row r="1538" spans="1:29" ht="18" x14ac:dyDescent="0.4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</row>
    <row r="1539" spans="1:29" ht="18" x14ac:dyDescent="0.4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</row>
    <row r="1540" spans="1:29" ht="18" x14ac:dyDescent="0.4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</row>
    <row r="1541" spans="1:29" ht="18" x14ac:dyDescent="0.4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</row>
    <row r="1542" spans="1:29" ht="18" x14ac:dyDescent="0.4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</row>
    <row r="1543" spans="1:29" ht="18" x14ac:dyDescent="0.4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</row>
    <row r="1544" spans="1:29" ht="18" x14ac:dyDescent="0.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</row>
    <row r="1545" spans="1:29" ht="18" x14ac:dyDescent="0.4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</row>
    <row r="1546" spans="1:29" ht="18" x14ac:dyDescent="0.4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</row>
    <row r="1547" spans="1:29" ht="18" x14ac:dyDescent="0.4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</row>
    <row r="1548" spans="1:29" ht="18" x14ac:dyDescent="0.4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</row>
    <row r="1549" spans="1:29" ht="18" x14ac:dyDescent="0.4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</row>
    <row r="1550" spans="1:29" ht="18" x14ac:dyDescent="0.4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</row>
    <row r="1551" spans="1:29" ht="18" x14ac:dyDescent="0.4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</row>
    <row r="1552" spans="1:29" ht="18" x14ac:dyDescent="0.4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</row>
    <row r="1553" spans="1:29" ht="18" x14ac:dyDescent="0.4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</row>
    <row r="1554" spans="1:29" ht="18" x14ac:dyDescent="0.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</row>
    <row r="1555" spans="1:29" ht="18" x14ac:dyDescent="0.4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</row>
    <row r="1556" spans="1:29" ht="18" x14ac:dyDescent="0.4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</row>
    <row r="1557" spans="1:29" ht="18" x14ac:dyDescent="0.4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</row>
    <row r="1558" spans="1:29" ht="18" x14ac:dyDescent="0.4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</row>
    <row r="1559" spans="1:29" ht="18" x14ac:dyDescent="0.4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</row>
    <row r="1560" spans="1:29" ht="18" x14ac:dyDescent="0.4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</row>
    <row r="1561" spans="1:29" ht="18" x14ac:dyDescent="0.4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</row>
    <row r="1562" spans="1:29" ht="18" x14ac:dyDescent="0.4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</row>
    <row r="1563" spans="1:29" ht="18" x14ac:dyDescent="0.4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</row>
    <row r="1564" spans="1:29" ht="18" x14ac:dyDescent="0.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</row>
    <row r="1565" spans="1:29" ht="18" x14ac:dyDescent="0.4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</row>
    <row r="1566" spans="1:29" ht="18" x14ac:dyDescent="0.4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</row>
    <row r="1567" spans="1:29" ht="18" x14ac:dyDescent="0.4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</row>
    <row r="1568" spans="1:29" ht="18" x14ac:dyDescent="0.4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</row>
    <row r="1569" spans="1:29" ht="18" x14ac:dyDescent="0.4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</row>
    <row r="1570" spans="1:29" ht="18" x14ac:dyDescent="0.4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</row>
    <row r="1571" spans="1:29" ht="18" x14ac:dyDescent="0.4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</row>
    <row r="1572" spans="1:29" ht="18" x14ac:dyDescent="0.4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</row>
    <row r="1573" spans="1:29" ht="18" x14ac:dyDescent="0.4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</row>
    <row r="1574" spans="1:29" ht="18" x14ac:dyDescent="0.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</row>
    <row r="1575" spans="1:29" ht="18" x14ac:dyDescent="0.4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</row>
    <row r="1576" spans="1:29" ht="18" x14ac:dyDescent="0.4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</row>
    <row r="1577" spans="1:29" ht="18" x14ac:dyDescent="0.4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</row>
    <row r="1578" spans="1:29" ht="18" x14ac:dyDescent="0.4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</row>
    <row r="1579" spans="1:29" ht="18" x14ac:dyDescent="0.4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</row>
    <row r="1580" spans="1:29" ht="18" x14ac:dyDescent="0.4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</row>
    <row r="1581" spans="1:29" ht="18" x14ac:dyDescent="0.4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</row>
    <row r="1582" spans="1:29" ht="18" x14ac:dyDescent="0.4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</row>
    <row r="1583" spans="1:29" ht="18" x14ac:dyDescent="0.4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</row>
    <row r="1584" spans="1:29" ht="18" x14ac:dyDescent="0.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</row>
    <row r="1585" spans="1:29" ht="18" x14ac:dyDescent="0.4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</row>
    <row r="1586" spans="1:29" ht="18" x14ac:dyDescent="0.4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</row>
    <row r="1587" spans="1:29" ht="18" x14ac:dyDescent="0.4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</row>
    <row r="1588" spans="1:29" ht="18" x14ac:dyDescent="0.4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</row>
    <row r="1589" spans="1:29" ht="18" x14ac:dyDescent="0.4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</row>
    <row r="1590" spans="1:29" ht="18" x14ac:dyDescent="0.4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</row>
    <row r="1591" spans="1:29" ht="18" x14ac:dyDescent="0.4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</row>
    <row r="1592" spans="1:29" ht="18" x14ac:dyDescent="0.4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</row>
    <row r="1593" spans="1:29" ht="18" x14ac:dyDescent="0.4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</row>
    <row r="1594" spans="1:29" ht="18" x14ac:dyDescent="0.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</row>
    <row r="1595" spans="1:29" ht="18" x14ac:dyDescent="0.4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</row>
    <row r="1596" spans="1:29" ht="18" x14ac:dyDescent="0.4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</row>
    <row r="1597" spans="1:29" ht="18" x14ac:dyDescent="0.4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</row>
    <row r="1598" spans="1:29" ht="18" x14ac:dyDescent="0.4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</row>
    <row r="1599" spans="1:29" ht="18" x14ac:dyDescent="0.4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</row>
    <row r="1600" spans="1:29" ht="18" x14ac:dyDescent="0.4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</row>
    <row r="1601" spans="1:29" ht="18" x14ac:dyDescent="0.4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</row>
    <row r="1602" spans="1:29" ht="18" x14ac:dyDescent="0.4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</row>
    <row r="1603" spans="1:29" ht="18" x14ac:dyDescent="0.4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</row>
    <row r="1604" spans="1:29" ht="18" x14ac:dyDescent="0.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</row>
    <row r="1605" spans="1:29" ht="18" x14ac:dyDescent="0.4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</row>
    <row r="1606" spans="1:29" ht="18" x14ac:dyDescent="0.4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</row>
    <row r="1607" spans="1:29" ht="18" x14ac:dyDescent="0.4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</row>
    <row r="1608" spans="1:29" ht="18" x14ac:dyDescent="0.4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</row>
    <row r="1609" spans="1:29" ht="18" x14ac:dyDescent="0.4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</row>
    <row r="1610" spans="1:29" ht="18" x14ac:dyDescent="0.4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</row>
    <row r="1611" spans="1:29" ht="18" x14ac:dyDescent="0.4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</row>
    <row r="1612" spans="1:29" ht="18" x14ac:dyDescent="0.4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</row>
    <row r="1613" spans="1:29" ht="18" x14ac:dyDescent="0.4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</row>
    <row r="1614" spans="1:29" ht="18" x14ac:dyDescent="0.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</row>
    <row r="1615" spans="1:29" ht="18" x14ac:dyDescent="0.4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</row>
    <row r="1616" spans="1:29" ht="18" x14ac:dyDescent="0.4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</row>
    <row r="1617" spans="1:29" ht="18" x14ac:dyDescent="0.4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</row>
    <row r="1618" spans="1:29" ht="18" x14ac:dyDescent="0.4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</row>
    <row r="1619" spans="1:29" ht="18" x14ac:dyDescent="0.4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</row>
    <row r="1620" spans="1:29" ht="18" x14ac:dyDescent="0.4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</row>
    <row r="1621" spans="1:29" ht="18" x14ac:dyDescent="0.4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</row>
    <row r="1622" spans="1:29" ht="18" x14ac:dyDescent="0.4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</row>
    <row r="1623" spans="1:29" ht="18" x14ac:dyDescent="0.4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</row>
    <row r="1624" spans="1:29" ht="18" x14ac:dyDescent="0.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</row>
    <row r="1625" spans="1:29" ht="18" x14ac:dyDescent="0.4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</row>
    <row r="1626" spans="1:29" ht="18" x14ac:dyDescent="0.4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</row>
    <row r="1627" spans="1:29" ht="18" x14ac:dyDescent="0.4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</row>
    <row r="1628" spans="1:29" ht="18" x14ac:dyDescent="0.4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</row>
    <row r="1629" spans="1:29" ht="18" x14ac:dyDescent="0.4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</row>
    <row r="1630" spans="1:29" ht="18" x14ac:dyDescent="0.4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</row>
    <row r="1631" spans="1:29" ht="18" x14ac:dyDescent="0.4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</row>
    <row r="1632" spans="1:29" ht="18" x14ac:dyDescent="0.4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</row>
    <row r="1633" spans="1:29" ht="18" x14ac:dyDescent="0.4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</row>
    <row r="1634" spans="1:29" ht="18" x14ac:dyDescent="0.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</row>
    <row r="1635" spans="1:29" ht="18" x14ac:dyDescent="0.4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</row>
    <row r="1636" spans="1:29" ht="18" x14ac:dyDescent="0.4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</row>
    <row r="1637" spans="1:29" ht="18" x14ac:dyDescent="0.4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</row>
    <row r="1638" spans="1:29" ht="18" x14ac:dyDescent="0.4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</row>
    <row r="1639" spans="1:29" ht="18" x14ac:dyDescent="0.4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</row>
    <row r="1640" spans="1:29" ht="18" x14ac:dyDescent="0.4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</row>
    <row r="1641" spans="1:29" ht="18" x14ac:dyDescent="0.4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</row>
    <row r="1642" spans="1:29" ht="18" x14ac:dyDescent="0.4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</row>
    <row r="1643" spans="1:29" ht="18" x14ac:dyDescent="0.4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</row>
    <row r="1644" spans="1:29" ht="18" x14ac:dyDescent="0.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</row>
    <row r="1645" spans="1:29" ht="18" x14ac:dyDescent="0.4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</row>
    <row r="1646" spans="1:29" ht="18" x14ac:dyDescent="0.4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</row>
    <row r="1647" spans="1:29" ht="18" x14ac:dyDescent="0.4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</row>
    <row r="1648" spans="1:29" ht="18" x14ac:dyDescent="0.4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</row>
    <row r="1649" spans="1:29" ht="18" x14ac:dyDescent="0.4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</row>
    <row r="1650" spans="1:29" ht="18" x14ac:dyDescent="0.4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</row>
    <row r="1651" spans="1:29" ht="18" x14ac:dyDescent="0.4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</row>
    <row r="1652" spans="1:29" ht="18" x14ac:dyDescent="0.4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</row>
    <row r="1653" spans="1:29" ht="18" x14ac:dyDescent="0.4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</row>
    <row r="1654" spans="1:29" ht="18" x14ac:dyDescent="0.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</row>
    <row r="1655" spans="1:29" ht="18" x14ac:dyDescent="0.4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</row>
    <row r="1656" spans="1:29" ht="18" x14ac:dyDescent="0.4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</row>
    <row r="1657" spans="1:29" ht="18" x14ac:dyDescent="0.4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</row>
    <row r="1658" spans="1:29" ht="18" x14ac:dyDescent="0.4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</row>
    <row r="1659" spans="1:29" ht="18" x14ac:dyDescent="0.4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</row>
    <row r="1660" spans="1:29" ht="18" x14ac:dyDescent="0.4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</row>
    <row r="1661" spans="1:29" ht="18" x14ac:dyDescent="0.4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</row>
    <row r="1662" spans="1:29" ht="18" x14ac:dyDescent="0.4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</row>
    <row r="1663" spans="1:29" ht="18" x14ac:dyDescent="0.4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</row>
    <row r="1664" spans="1:29" ht="18" x14ac:dyDescent="0.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</row>
    <row r="1665" spans="1:29" ht="18" x14ac:dyDescent="0.4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</row>
    <row r="1666" spans="1:29" ht="18" x14ac:dyDescent="0.4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</row>
    <row r="1667" spans="1:29" ht="18" x14ac:dyDescent="0.4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</row>
    <row r="1668" spans="1:29" ht="18" x14ac:dyDescent="0.4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</row>
    <row r="1669" spans="1:29" ht="18" x14ac:dyDescent="0.4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</row>
    <row r="1670" spans="1:29" ht="18" x14ac:dyDescent="0.4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</row>
    <row r="1671" spans="1:29" ht="18" x14ac:dyDescent="0.4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</row>
    <row r="1672" spans="1:29" ht="18" x14ac:dyDescent="0.4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</row>
    <row r="1673" spans="1:29" ht="18" x14ac:dyDescent="0.4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</row>
    <row r="1674" spans="1:29" ht="18" x14ac:dyDescent="0.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</row>
    <row r="1675" spans="1:29" ht="18" x14ac:dyDescent="0.4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</row>
    <row r="1676" spans="1:29" ht="18" x14ac:dyDescent="0.4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</row>
    <row r="1677" spans="1:29" ht="18" x14ac:dyDescent="0.4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</row>
    <row r="1678" spans="1:29" ht="18" x14ac:dyDescent="0.4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</row>
    <row r="1679" spans="1:29" ht="18" x14ac:dyDescent="0.4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</row>
    <row r="1680" spans="1:29" ht="18" x14ac:dyDescent="0.4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</row>
    <row r="1681" spans="1:29" ht="18" x14ac:dyDescent="0.4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</row>
    <row r="1682" spans="1:29" ht="18" x14ac:dyDescent="0.4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</row>
    <row r="1683" spans="1:29" ht="18" x14ac:dyDescent="0.4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</row>
    <row r="1684" spans="1:29" ht="18" x14ac:dyDescent="0.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</row>
    <row r="1685" spans="1:29" ht="18" x14ac:dyDescent="0.4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</row>
    <row r="1686" spans="1:29" ht="18" x14ac:dyDescent="0.4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</row>
    <row r="1687" spans="1:29" ht="18" x14ac:dyDescent="0.4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</row>
    <row r="1688" spans="1:29" ht="18" x14ac:dyDescent="0.4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</row>
    <row r="1689" spans="1:29" ht="18" x14ac:dyDescent="0.4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</row>
    <row r="1690" spans="1:29" ht="18" x14ac:dyDescent="0.4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</row>
    <row r="1691" spans="1:29" ht="18" x14ac:dyDescent="0.4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</row>
    <row r="1692" spans="1:29" ht="18" x14ac:dyDescent="0.4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</row>
    <row r="1693" spans="1:29" ht="18" x14ac:dyDescent="0.4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</row>
    <row r="1694" spans="1:29" ht="18" x14ac:dyDescent="0.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</row>
    <row r="1695" spans="1:29" ht="18" x14ac:dyDescent="0.4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</row>
    <row r="1696" spans="1:29" ht="18" x14ac:dyDescent="0.4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</row>
    <row r="1697" spans="1:29" ht="18" x14ac:dyDescent="0.4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</row>
    <row r="1698" spans="1:29" ht="18" x14ac:dyDescent="0.4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</row>
    <row r="1699" spans="1:29" ht="18" x14ac:dyDescent="0.4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</row>
    <row r="1700" spans="1:29" ht="18" x14ac:dyDescent="0.4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</row>
    <row r="1701" spans="1:29" ht="18" x14ac:dyDescent="0.4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</row>
    <row r="1702" spans="1:29" ht="18" x14ac:dyDescent="0.4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</row>
    <row r="1703" spans="1:29" ht="18" x14ac:dyDescent="0.4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</row>
    <row r="1704" spans="1:29" ht="18" x14ac:dyDescent="0.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</row>
    <row r="1705" spans="1:29" ht="18" x14ac:dyDescent="0.4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</row>
    <row r="1706" spans="1:29" ht="18" x14ac:dyDescent="0.4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</row>
    <row r="1707" spans="1:29" ht="18" x14ac:dyDescent="0.4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</row>
    <row r="1708" spans="1:29" ht="18" x14ac:dyDescent="0.4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</row>
    <row r="1709" spans="1:29" ht="18" x14ac:dyDescent="0.4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</row>
    <row r="1710" spans="1:29" ht="18" x14ac:dyDescent="0.4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</row>
    <row r="1711" spans="1:29" ht="18" x14ac:dyDescent="0.4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</row>
    <row r="1712" spans="1:29" ht="18" x14ac:dyDescent="0.4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</row>
    <row r="1713" spans="1:29" ht="18" x14ac:dyDescent="0.4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</row>
    <row r="1714" spans="1:29" ht="18" x14ac:dyDescent="0.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</row>
    <row r="1715" spans="1:29" ht="18" x14ac:dyDescent="0.4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</row>
    <row r="1716" spans="1:29" ht="18" x14ac:dyDescent="0.4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</row>
    <row r="1717" spans="1:29" ht="18" x14ac:dyDescent="0.4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</row>
    <row r="1718" spans="1:29" ht="18" x14ac:dyDescent="0.4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</row>
    <row r="1719" spans="1:29" ht="18" x14ac:dyDescent="0.4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</row>
    <row r="1720" spans="1:29" ht="18" x14ac:dyDescent="0.4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</row>
    <row r="1721" spans="1:29" ht="18" x14ac:dyDescent="0.4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</row>
    <row r="1722" spans="1:29" ht="18" x14ac:dyDescent="0.4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</row>
    <row r="1723" spans="1:29" ht="18" x14ac:dyDescent="0.4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</row>
    <row r="1724" spans="1:29" ht="18" x14ac:dyDescent="0.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</row>
    <row r="1725" spans="1:29" ht="18" x14ac:dyDescent="0.4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</row>
    <row r="1726" spans="1:29" ht="18" x14ac:dyDescent="0.4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</row>
    <row r="1727" spans="1:29" ht="18" x14ac:dyDescent="0.4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</row>
    <row r="1728" spans="1:29" ht="18" x14ac:dyDescent="0.4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</row>
    <row r="1729" spans="1:29" ht="18" x14ac:dyDescent="0.4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</row>
    <row r="1730" spans="1:29" ht="18" x14ac:dyDescent="0.4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</row>
    <row r="1731" spans="1:29" ht="18" x14ac:dyDescent="0.4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</row>
    <row r="1732" spans="1:29" ht="18" x14ac:dyDescent="0.4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</row>
    <row r="1733" spans="1:29" ht="18" x14ac:dyDescent="0.4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</row>
    <row r="1734" spans="1:29" ht="18" x14ac:dyDescent="0.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</row>
    <row r="1735" spans="1:29" ht="18" x14ac:dyDescent="0.4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</row>
    <row r="1736" spans="1:29" ht="18" x14ac:dyDescent="0.4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</row>
    <row r="1737" spans="1:29" ht="18" x14ac:dyDescent="0.4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</row>
    <row r="1738" spans="1:29" ht="18" x14ac:dyDescent="0.4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</row>
    <row r="1739" spans="1:29" ht="18" x14ac:dyDescent="0.4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</row>
    <row r="1740" spans="1:29" ht="18" x14ac:dyDescent="0.4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</row>
    <row r="1741" spans="1:29" ht="18" x14ac:dyDescent="0.4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</row>
    <row r="1742" spans="1:29" ht="18" x14ac:dyDescent="0.4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</row>
    <row r="1743" spans="1:29" ht="18" x14ac:dyDescent="0.4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</row>
    <row r="1744" spans="1:29" ht="18" x14ac:dyDescent="0.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</row>
    <row r="1745" spans="1:29" ht="18" x14ac:dyDescent="0.4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</row>
    <row r="1746" spans="1:29" ht="18" x14ac:dyDescent="0.4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</row>
    <row r="1747" spans="1:29" ht="18" x14ac:dyDescent="0.4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</row>
    <row r="1748" spans="1:29" ht="18" x14ac:dyDescent="0.4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</row>
    <row r="1749" spans="1:29" ht="18" x14ac:dyDescent="0.4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</row>
    <row r="1750" spans="1:29" ht="18" x14ac:dyDescent="0.4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</row>
    <row r="1751" spans="1:29" ht="18" x14ac:dyDescent="0.4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</row>
    <row r="1752" spans="1:29" ht="18" x14ac:dyDescent="0.4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</row>
    <row r="1753" spans="1:29" ht="18" x14ac:dyDescent="0.4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</row>
    <row r="1754" spans="1:29" ht="18" x14ac:dyDescent="0.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</row>
    <row r="1755" spans="1:29" ht="18" x14ac:dyDescent="0.4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</row>
    <row r="1756" spans="1:29" ht="18" x14ac:dyDescent="0.4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</row>
    <row r="1757" spans="1:29" ht="18" x14ac:dyDescent="0.4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</row>
    <row r="1758" spans="1:29" ht="18" x14ac:dyDescent="0.4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</row>
    <row r="1759" spans="1:29" ht="18" x14ac:dyDescent="0.4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</row>
    <row r="1760" spans="1:29" ht="18" x14ac:dyDescent="0.4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</row>
    <row r="1761" spans="1:29" ht="18" x14ac:dyDescent="0.4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</row>
    <row r="1762" spans="1:29" ht="18" x14ac:dyDescent="0.4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</row>
    <row r="1763" spans="1:29" ht="18" x14ac:dyDescent="0.4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</row>
    <row r="1764" spans="1:29" ht="18" x14ac:dyDescent="0.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</row>
    <row r="1765" spans="1:29" ht="18" x14ac:dyDescent="0.4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</row>
    <row r="1766" spans="1:29" ht="18" x14ac:dyDescent="0.4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</row>
    <row r="1767" spans="1:29" ht="18" x14ac:dyDescent="0.4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</row>
    <row r="1768" spans="1:29" ht="18" x14ac:dyDescent="0.4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</row>
    <row r="1769" spans="1:29" ht="18" x14ac:dyDescent="0.4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</row>
    <row r="1770" spans="1:29" ht="18" x14ac:dyDescent="0.4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</row>
    <row r="1771" spans="1:29" ht="18" x14ac:dyDescent="0.4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</row>
    <row r="1772" spans="1:29" ht="18" x14ac:dyDescent="0.4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</row>
    <row r="1773" spans="1:29" ht="18" x14ac:dyDescent="0.4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</row>
    <row r="1774" spans="1:29" ht="18" x14ac:dyDescent="0.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</row>
    <row r="1775" spans="1:29" ht="18" x14ac:dyDescent="0.4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</row>
    <row r="1776" spans="1:29" ht="18" x14ac:dyDescent="0.4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</row>
    <row r="1777" spans="1:29" ht="18" x14ac:dyDescent="0.4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</row>
    <row r="1778" spans="1:29" ht="18" x14ac:dyDescent="0.4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</row>
    <row r="1779" spans="1:29" ht="18" x14ac:dyDescent="0.4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</row>
    <row r="1780" spans="1:29" ht="18" x14ac:dyDescent="0.4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</row>
    <row r="1781" spans="1:29" ht="18" x14ac:dyDescent="0.4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</row>
    <row r="1782" spans="1:29" ht="18" x14ac:dyDescent="0.4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</row>
    <row r="1783" spans="1:29" ht="18" x14ac:dyDescent="0.4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</row>
    <row r="1784" spans="1:29" ht="18" x14ac:dyDescent="0.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</row>
    <row r="1785" spans="1:29" ht="18" x14ac:dyDescent="0.4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</row>
    <row r="1786" spans="1:29" ht="18" x14ac:dyDescent="0.4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</row>
    <row r="1787" spans="1:29" ht="18" x14ac:dyDescent="0.4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</row>
    <row r="1788" spans="1:29" ht="18" x14ac:dyDescent="0.4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</row>
    <row r="1789" spans="1:29" ht="18" x14ac:dyDescent="0.4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</row>
    <row r="1790" spans="1:29" ht="18" x14ac:dyDescent="0.4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</row>
    <row r="1791" spans="1:29" ht="18" x14ac:dyDescent="0.4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</row>
    <row r="1792" spans="1:29" ht="18" x14ac:dyDescent="0.4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</row>
    <row r="1793" spans="1:29" ht="18" x14ac:dyDescent="0.4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</row>
    <row r="1794" spans="1:29" ht="18" x14ac:dyDescent="0.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</row>
    <row r="1795" spans="1:29" ht="18" x14ac:dyDescent="0.4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</row>
    <row r="1796" spans="1:29" ht="18" x14ac:dyDescent="0.4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</row>
    <row r="1797" spans="1:29" ht="18" x14ac:dyDescent="0.4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</row>
    <row r="1798" spans="1:29" ht="18" x14ac:dyDescent="0.4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</row>
    <row r="1799" spans="1:29" ht="18" x14ac:dyDescent="0.4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</row>
    <row r="1800" spans="1:29" ht="18" x14ac:dyDescent="0.4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</row>
    <row r="1801" spans="1:29" ht="18" x14ac:dyDescent="0.4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</row>
    <row r="1802" spans="1:29" ht="18" x14ac:dyDescent="0.4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</row>
    <row r="1803" spans="1:29" ht="18" x14ac:dyDescent="0.4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</row>
    <row r="1804" spans="1:29" ht="18" x14ac:dyDescent="0.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</row>
    <row r="1805" spans="1:29" ht="18" x14ac:dyDescent="0.4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</row>
    <row r="1806" spans="1:29" ht="18" x14ac:dyDescent="0.4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</row>
    <row r="1807" spans="1:29" ht="18" x14ac:dyDescent="0.4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</row>
    <row r="1808" spans="1:29" ht="18" x14ac:dyDescent="0.4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</row>
    <row r="1809" spans="1:29" ht="18" x14ac:dyDescent="0.4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</row>
    <row r="1810" spans="1:29" ht="18" x14ac:dyDescent="0.4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</row>
    <row r="1811" spans="1:29" ht="18" x14ac:dyDescent="0.4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</row>
    <row r="1812" spans="1:29" ht="18" x14ac:dyDescent="0.4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</row>
    <row r="1813" spans="1:29" ht="18" x14ac:dyDescent="0.4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</row>
    <row r="1814" spans="1:29" ht="18" x14ac:dyDescent="0.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</row>
    <row r="1815" spans="1:29" ht="18" x14ac:dyDescent="0.4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</row>
    <row r="1816" spans="1:29" ht="18" x14ac:dyDescent="0.4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</row>
    <row r="1817" spans="1:29" ht="18" x14ac:dyDescent="0.4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</row>
    <row r="1818" spans="1:29" ht="18" x14ac:dyDescent="0.4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</row>
    <row r="1819" spans="1:29" ht="18" x14ac:dyDescent="0.4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</row>
    <row r="1820" spans="1:29" ht="18" x14ac:dyDescent="0.4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</row>
    <row r="1821" spans="1:29" ht="18" x14ac:dyDescent="0.4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</row>
    <row r="1822" spans="1:29" ht="18" x14ac:dyDescent="0.4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</row>
    <row r="1823" spans="1:29" ht="18" x14ac:dyDescent="0.4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</row>
    <row r="1824" spans="1:29" ht="18" x14ac:dyDescent="0.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</row>
    <row r="1825" spans="1:29" ht="18" x14ac:dyDescent="0.4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</row>
    <row r="1826" spans="1:29" ht="18" x14ac:dyDescent="0.4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</row>
    <row r="1827" spans="1:29" ht="18" x14ac:dyDescent="0.4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</row>
    <row r="1828" spans="1:29" ht="18" x14ac:dyDescent="0.4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</row>
    <row r="1829" spans="1:29" ht="18" x14ac:dyDescent="0.4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</row>
    <row r="1830" spans="1:29" ht="18" x14ac:dyDescent="0.4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</row>
    <row r="1831" spans="1:29" ht="18" x14ac:dyDescent="0.4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</row>
    <row r="1832" spans="1:29" ht="18" x14ac:dyDescent="0.4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</row>
    <row r="1833" spans="1:29" ht="18" x14ac:dyDescent="0.4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</row>
    <row r="1834" spans="1:29" ht="18" x14ac:dyDescent="0.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</row>
    <row r="1835" spans="1:29" ht="18" x14ac:dyDescent="0.4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</row>
    <row r="1836" spans="1:29" ht="18" x14ac:dyDescent="0.4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</row>
    <row r="1837" spans="1:29" ht="18" x14ac:dyDescent="0.4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</row>
    <row r="1838" spans="1:29" ht="18" x14ac:dyDescent="0.4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</row>
    <row r="1839" spans="1:29" ht="18" x14ac:dyDescent="0.4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</row>
    <row r="1840" spans="1:29" ht="18" x14ac:dyDescent="0.4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</row>
    <row r="1841" spans="1:29" ht="18" x14ac:dyDescent="0.4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</row>
    <row r="1842" spans="1:29" ht="18" x14ac:dyDescent="0.4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</row>
    <row r="1843" spans="1:29" ht="18" x14ac:dyDescent="0.4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</row>
    <row r="1844" spans="1:29" ht="18" x14ac:dyDescent="0.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</row>
    <row r="1845" spans="1:29" ht="18" x14ac:dyDescent="0.4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</row>
    <row r="1846" spans="1:29" ht="18" x14ac:dyDescent="0.4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</row>
    <row r="1847" spans="1:29" ht="18" x14ac:dyDescent="0.4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</row>
    <row r="1848" spans="1:29" ht="18" x14ac:dyDescent="0.4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</row>
    <row r="1849" spans="1:29" ht="18" x14ac:dyDescent="0.4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</row>
    <row r="1850" spans="1:29" ht="18" x14ac:dyDescent="0.4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</row>
    <row r="1851" spans="1:29" ht="18" x14ac:dyDescent="0.4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</row>
    <row r="1852" spans="1:29" ht="18" x14ac:dyDescent="0.4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</row>
    <row r="1853" spans="1:29" ht="18" x14ac:dyDescent="0.4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</row>
    <row r="1854" spans="1:29" ht="18" x14ac:dyDescent="0.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</row>
    <row r="1855" spans="1:29" ht="18" x14ac:dyDescent="0.4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</row>
    <row r="1856" spans="1:29" ht="18" x14ac:dyDescent="0.4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</row>
    <row r="1857" spans="1:29" ht="18" x14ac:dyDescent="0.4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</row>
    <row r="1858" spans="1:29" ht="18" x14ac:dyDescent="0.4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</row>
    <row r="1859" spans="1:29" ht="18" x14ac:dyDescent="0.4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</row>
    <row r="1860" spans="1:29" ht="18" x14ac:dyDescent="0.4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</row>
    <row r="1861" spans="1:29" ht="18" x14ac:dyDescent="0.4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</row>
    <row r="1862" spans="1:29" ht="18" x14ac:dyDescent="0.4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</row>
    <row r="1863" spans="1:29" ht="18" x14ac:dyDescent="0.4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</row>
    <row r="1864" spans="1:29" ht="18" x14ac:dyDescent="0.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</row>
    <row r="1865" spans="1:29" ht="18" x14ac:dyDescent="0.4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</row>
    <row r="1866" spans="1:29" ht="18" x14ac:dyDescent="0.4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</row>
    <row r="1867" spans="1:29" ht="18" x14ac:dyDescent="0.4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</row>
    <row r="1868" spans="1:29" ht="18" x14ac:dyDescent="0.4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</row>
    <row r="1869" spans="1:29" ht="18" x14ac:dyDescent="0.4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</row>
    <row r="1870" spans="1:29" ht="18" x14ac:dyDescent="0.4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</row>
    <row r="1871" spans="1:29" ht="18" x14ac:dyDescent="0.4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</row>
    <row r="1872" spans="1:29" ht="18" x14ac:dyDescent="0.4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</row>
    <row r="1873" spans="1:29" ht="18" x14ac:dyDescent="0.4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</row>
    <row r="1874" spans="1:29" ht="18" x14ac:dyDescent="0.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</row>
    <row r="1875" spans="1:29" ht="18" x14ac:dyDescent="0.4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</row>
    <row r="1876" spans="1:29" ht="18" x14ac:dyDescent="0.4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</row>
    <row r="1877" spans="1:29" ht="18" x14ac:dyDescent="0.4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</row>
    <row r="1878" spans="1:29" ht="18" x14ac:dyDescent="0.4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</row>
    <row r="1879" spans="1:29" ht="18" x14ac:dyDescent="0.4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</row>
    <row r="1880" spans="1:29" ht="18" x14ac:dyDescent="0.4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</row>
    <row r="1881" spans="1:29" ht="18" x14ac:dyDescent="0.4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</row>
    <row r="1882" spans="1:29" ht="18" x14ac:dyDescent="0.4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</row>
    <row r="1883" spans="1:29" ht="18" x14ac:dyDescent="0.4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</row>
    <row r="1884" spans="1:29" ht="18" x14ac:dyDescent="0.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</row>
    <row r="1885" spans="1:29" ht="18" x14ac:dyDescent="0.4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</row>
    <row r="1886" spans="1:29" ht="18" x14ac:dyDescent="0.4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</row>
    <row r="1887" spans="1:29" ht="18" x14ac:dyDescent="0.4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</row>
    <row r="1888" spans="1:29" ht="18" x14ac:dyDescent="0.4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</row>
    <row r="1889" spans="1:29" ht="18" x14ac:dyDescent="0.4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</row>
    <row r="1890" spans="1:29" ht="18" x14ac:dyDescent="0.4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</row>
    <row r="1891" spans="1:29" ht="18" x14ac:dyDescent="0.4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</row>
    <row r="1892" spans="1:29" ht="18" x14ac:dyDescent="0.4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</row>
    <row r="1893" spans="1:29" ht="18" x14ac:dyDescent="0.4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</row>
    <row r="1894" spans="1:29" ht="18" x14ac:dyDescent="0.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</row>
    <row r="1895" spans="1:29" ht="18" x14ac:dyDescent="0.4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</row>
    <row r="1896" spans="1:29" ht="18" x14ac:dyDescent="0.4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</row>
    <row r="1897" spans="1:29" ht="18" x14ac:dyDescent="0.4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</row>
    <row r="1898" spans="1:29" ht="18" x14ac:dyDescent="0.4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</row>
    <row r="1899" spans="1:29" ht="18" x14ac:dyDescent="0.4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</row>
    <row r="1900" spans="1:29" ht="18" x14ac:dyDescent="0.4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</row>
    <row r="1901" spans="1:29" ht="18" x14ac:dyDescent="0.4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</row>
    <row r="1902" spans="1:29" ht="18" x14ac:dyDescent="0.4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</row>
    <row r="1903" spans="1:29" ht="18" x14ac:dyDescent="0.4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</row>
    <row r="1904" spans="1:29" ht="18" x14ac:dyDescent="0.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</row>
    <row r="1905" spans="1:29" ht="18" x14ac:dyDescent="0.4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</row>
    <row r="1906" spans="1:29" ht="18" x14ac:dyDescent="0.4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</row>
    <row r="1907" spans="1:29" ht="18" x14ac:dyDescent="0.4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</row>
    <row r="1908" spans="1:29" ht="18" x14ac:dyDescent="0.4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</row>
    <row r="1909" spans="1:29" ht="18" x14ac:dyDescent="0.4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</row>
    <row r="1910" spans="1:29" ht="18" x14ac:dyDescent="0.4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</row>
    <row r="1911" spans="1:29" ht="18" x14ac:dyDescent="0.4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</row>
    <row r="1912" spans="1:29" ht="18" x14ac:dyDescent="0.4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</row>
    <row r="1913" spans="1:29" ht="18" x14ac:dyDescent="0.4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</row>
    <row r="1914" spans="1:29" ht="18" x14ac:dyDescent="0.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</row>
    <row r="1915" spans="1:29" ht="18" x14ac:dyDescent="0.4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</row>
    <row r="1916" spans="1:29" ht="18" x14ac:dyDescent="0.4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</row>
    <row r="1917" spans="1:29" ht="18" x14ac:dyDescent="0.4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</row>
    <row r="1918" spans="1:29" ht="18" x14ac:dyDescent="0.4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</row>
    <row r="1919" spans="1:29" ht="18" x14ac:dyDescent="0.4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</row>
    <row r="1920" spans="1:29" ht="18" x14ac:dyDescent="0.4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</row>
    <row r="1921" spans="1:29" ht="18" x14ac:dyDescent="0.4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</row>
    <row r="1922" spans="1:29" ht="18" x14ac:dyDescent="0.4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</row>
    <row r="1923" spans="1:29" ht="18" x14ac:dyDescent="0.4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</row>
    <row r="1924" spans="1:29" ht="18" x14ac:dyDescent="0.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</row>
    <row r="1925" spans="1:29" ht="18" x14ac:dyDescent="0.4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</row>
    <row r="1926" spans="1:29" ht="18" x14ac:dyDescent="0.4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</row>
    <row r="1927" spans="1:29" ht="18" x14ac:dyDescent="0.4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</row>
    <row r="1928" spans="1:29" ht="18" x14ac:dyDescent="0.4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</row>
    <row r="1929" spans="1:29" ht="18" x14ac:dyDescent="0.4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</row>
    <row r="1930" spans="1:29" ht="18" x14ac:dyDescent="0.4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</row>
    <row r="1931" spans="1:29" ht="18" x14ac:dyDescent="0.4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</row>
    <row r="1932" spans="1:29" ht="18" x14ac:dyDescent="0.4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</row>
    <row r="1933" spans="1:29" ht="18" x14ac:dyDescent="0.4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</row>
    <row r="1934" spans="1:29" ht="18" x14ac:dyDescent="0.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</row>
    <row r="1935" spans="1:29" ht="18" x14ac:dyDescent="0.4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</row>
    <row r="1936" spans="1:29" ht="18" x14ac:dyDescent="0.4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</row>
    <row r="1937" spans="1:29" ht="18" x14ac:dyDescent="0.4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</row>
    <row r="1938" spans="1:29" ht="18" x14ac:dyDescent="0.4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</row>
    <row r="1939" spans="1:29" ht="18" x14ac:dyDescent="0.4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</row>
    <row r="1940" spans="1:29" ht="18" x14ac:dyDescent="0.4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</row>
    <row r="1941" spans="1:29" ht="18" x14ac:dyDescent="0.4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</row>
    <row r="1942" spans="1:29" ht="18" x14ac:dyDescent="0.4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</row>
    <row r="1943" spans="1:29" ht="18" x14ac:dyDescent="0.4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</row>
    <row r="1944" spans="1:29" ht="18" x14ac:dyDescent="0.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</row>
    <row r="1945" spans="1:29" ht="18" x14ac:dyDescent="0.4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</row>
    <row r="1946" spans="1:29" ht="18" x14ac:dyDescent="0.4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</row>
    <row r="1947" spans="1:29" ht="18" x14ac:dyDescent="0.4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</row>
    <row r="1948" spans="1:29" ht="18" x14ac:dyDescent="0.4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</row>
    <row r="1949" spans="1:29" ht="18" x14ac:dyDescent="0.4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</row>
    <row r="1950" spans="1:29" ht="18" x14ac:dyDescent="0.4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</row>
    <row r="1951" spans="1:29" ht="18" x14ac:dyDescent="0.4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</row>
    <row r="1952" spans="1:29" ht="18" x14ac:dyDescent="0.4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</row>
    <row r="1953" spans="1:29" ht="18" x14ac:dyDescent="0.4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</row>
    <row r="1954" spans="1:29" ht="18" x14ac:dyDescent="0.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</row>
    <row r="1955" spans="1:29" ht="18" x14ac:dyDescent="0.4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</row>
    <row r="1956" spans="1:29" ht="18" x14ac:dyDescent="0.4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</row>
    <row r="1957" spans="1:29" ht="18" x14ac:dyDescent="0.4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</row>
    <row r="1958" spans="1:29" ht="18" x14ac:dyDescent="0.4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</row>
    <row r="1959" spans="1:29" ht="18" x14ac:dyDescent="0.4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</row>
    <row r="1960" spans="1:29" ht="18" x14ac:dyDescent="0.4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</row>
    <row r="1961" spans="1:29" ht="18" x14ac:dyDescent="0.4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</row>
    <row r="1962" spans="1:29" ht="18" x14ac:dyDescent="0.4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</row>
    <row r="1963" spans="1:29" ht="18" x14ac:dyDescent="0.4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</row>
    <row r="1964" spans="1:29" ht="18" x14ac:dyDescent="0.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</row>
    <row r="1965" spans="1:29" ht="18" x14ac:dyDescent="0.4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</row>
    <row r="1966" spans="1:29" ht="18" x14ac:dyDescent="0.4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</row>
    <row r="1967" spans="1:29" ht="18" x14ac:dyDescent="0.4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</row>
    <row r="1968" spans="1:29" ht="18" x14ac:dyDescent="0.4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</row>
    <row r="1969" spans="1:29" ht="18" x14ac:dyDescent="0.4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</row>
    <row r="1970" spans="1:29" ht="18" x14ac:dyDescent="0.4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</row>
    <row r="1971" spans="1:29" ht="18" x14ac:dyDescent="0.4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</row>
    <row r="1972" spans="1:29" ht="18" x14ac:dyDescent="0.4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</row>
    <row r="1973" spans="1:29" ht="18" x14ac:dyDescent="0.4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</row>
    <row r="1974" spans="1:29" ht="18" x14ac:dyDescent="0.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</row>
    <row r="1975" spans="1:29" ht="18" x14ac:dyDescent="0.4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</row>
    <row r="1976" spans="1:29" ht="18" x14ac:dyDescent="0.4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</row>
    <row r="1977" spans="1:29" ht="18" x14ac:dyDescent="0.4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</row>
    <row r="1978" spans="1:29" ht="18" x14ac:dyDescent="0.4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</row>
    <row r="1979" spans="1:29" ht="18" x14ac:dyDescent="0.4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</row>
    <row r="1980" spans="1:29" ht="18" x14ac:dyDescent="0.4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</row>
    <row r="1981" spans="1:29" ht="18" x14ac:dyDescent="0.4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</row>
    <row r="1982" spans="1:29" ht="18" x14ac:dyDescent="0.4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</row>
    <row r="1983" spans="1:29" ht="18" x14ac:dyDescent="0.4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</row>
    <row r="1984" spans="1:29" ht="18" x14ac:dyDescent="0.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</row>
    <row r="1985" spans="1:29" ht="18" x14ac:dyDescent="0.4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</row>
    <row r="1986" spans="1:29" ht="18" x14ac:dyDescent="0.4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</row>
    <row r="1987" spans="1:29" ht="18" x14ac:dyDescent="0.4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</row>
    <row r="1988" spans="1:29" ht="18" x14ac:dyDescent="0.4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</row>
    <row r="1989" spans="1:29" ht="18" x14ac:dyDescent="0.4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</row>
    <row r="1990" spans="1:29" ht="18" x14ac:dyDescent="0.4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</row>
    <row r="1991" spans="1:29" ht="18" x14ac:dyDescent="0.4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</row>
    <row r="1992" spans="1:29" ht="18" x14ac:dyDescent="0.4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</row>
    <row r="1993" spans="1:29" ht="18" x14ac:dyDescent="0.4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</row>
    <row r="1994" spans="1:29" ht="18" x14ac:dyDescent="0.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</row>
    <row r="1995" spans="1:29" ht="18" x14ac:dyDescent="0.4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</row>
    <row r="1996" spans="1:29" ht="18" x14ac:dyDescent="0.4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</row>
    <row r="1997" spans="1:29" ht="18" x14ac:dyDescent="0.4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</row>
    <row r="1998" spans="1:29" ht="18" x14ac:dyDescent="0.4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</row>
    <row r="1999" spans="1:29" ht="18" x14ac:dyDescent="0.4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</row>
    <row r="2000" spans="1:29" ht="18" x14ac:dyDescent="0.4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</row>
    <row r="2001" spans="1:29" ht="18" x14ac:dyDescent="0.4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</row>
    <row r="2002" spans="1:29" ht="18" x14ac:dyDescent="0.4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</row>
    <row r="2003" spans="1:29" ht="18" x14ac:dyDescent="0.4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</row>
    <row r="2004" spans="1:29" ht="18" x14ac:dyDescent="0.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</row>
    <row r="2005" spans="1:29" ht="18" x14ac:dyDescent="0.4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</row>
    <row r="2006" spans="1:29" ht="18" x14ac:dyDescent="0.4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</row>
    <row r="2007" spans="1:29" ht="18" x14ac:dyDescent="0.4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</row>
    <row r="2008" spans="1:29" ht="18" x14ac:dyDescent="0.4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</row>
    <row r="2009" spans="1:29" ht="18" x14ac:dyDescent="0.4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</row>
    <row r="2010" spans="1:29" ht="18" x14ac:dyDescent="0.4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</row>
    <row r="2011" spans="1:29" ht="18" x14ac:dyDescent="0.4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</row>
    <row r="2012" spans="1:29" ht="18" x14ac:dyDescent="0.4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</row>
    <row r="2013" spans="1:29" ht="18" x14ac:dyDescent="0.4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</row>
    <row r="2014" spans="1:29" ht="18" x14ac:dyDescent="0.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</row>
    <row r="2015" spans="1:29" ht="18" x14ac:dyDescent="0.4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</row>
    <row r="2016" spans="1:29" ht="18" x14ac:dyDescent="0.4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</row>
    <row r="2017" spans="1:29" ht="18" x14ac:dyDescent="0.4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</row>
    <row r="2018" spans="1:29" ht="18" x14ac:dyDescent="0.4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</row>
    <row r="2019" spans="1:29" ht="18" x14ac:dyDescent="0.4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</row>
    <row r="2020" spans="1:29" ht="18" x14ac:dyDescent="0.4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</row>
    <row r="2021" spans="1:29" ht="18" x14ac:dyDescent="0.4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</row>
    <row r="2022" spans="1:29" ht="18" x14ac:dyDescent="0.4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</row>
    <row r="2023" spans="1:29" ht="18" x14ac:dyDescent="0.4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</row>
    <row r="2024" spans="1:29" ht="18" x14ac:dyDescent="0.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</row>
    <row r="2025" spans="1:29" ht="18" x14ac:dyDescent="0.4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</row>
    <row r="2026" spans="1:29" ht="18" x14ac:dyDescent="0.4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</row>
    <row r="2027" spans="1:29" ht="18" x14ac:dyDescent="0.4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</row>
    <row r="2028" spans="1:29" ht="18" x14ac:dyDescent="0.4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</row>
    <row r="2029" spans="1:29" ht="18" x14ac:dyDescent="0.4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</row>
    <row r="2030" spans="1:29" ht="18" x14ac:dyDescent="0.4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</row>
    <row r="2031" spans="1:29" ht="18" x14ac:dyDescent="0.4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</row>
    <row r="2032" spans="1:29" ht="18" x14ac:dyDescent="0.4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</row>
    <row r="2033" spans="1:29" ht="18" x14ac:dyDescent="0.4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</row>
    <row r="2034" spans="1:29" ht="18" x14ac:dyDescent="0.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</row>
    <row r="2035" spans="1:29" ht="18" x14ac:dyDescent="0.4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</row>
    <row r="2036" spans="1:29" ht="18" x14ac:dyDescent="0.4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</row>
    <row r="2037" spans="1:29" ht="18" x14ac:dyDescent="0.4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</row>
    <row r="2038" spans="1:29" ht="18" x14ac:dyDescent="0.4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</row>
    <row r="2039" spans="1:29" ht="18" x14ac:dyDescent="0.4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</row>
    <row r="2040" spans="1:29" ht="18" x14ac:dyDescent="0.4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</row>
    <row r="2041" spans="1:29" ht="18" x14ac:dyDescent="0.4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</row>
    <row r="2042" spans="1:29" ht="18" x14ac:dyDescent="0.4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</row>
    <row r="2043" spans="1:29" ht="18" x14ac:dyDescent="0.4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</row>
    <row r="2044" spans="1:29" ht="18" x14ac:dyDescent="0.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</row>
    <row r="2045" spans="1:29" ht="18" x14ac:dyDescent="0.4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</row>
    <row r="2046" spans="1:29" ht="18" x14ac:dyDescent="0.4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</row>
    <row r="2047" spans="1:29" ht="18" x14ac:dyDescent="0.4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</row>
    <row r="2048" spans="1:29" ht="18" x14ac:dyDescent="0.4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</row>
    <row r="2049" spans="1:29" ht="18" x14ac:dyDescent="0.4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</row>
    <row r="2050" spans="1:29" ht="18" x14ac:dyDescent="0.4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</row>
    <row r="2051" spans="1:29" ht="18" x14ac:dyDescent="0.4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</row>
    <row r="2052" spans="1:29" ht="18" x14ac:dyDescent="0.4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</row>
    <row r="2053" spans="1:29" ht="18" x14ac:dyDescent="0.4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</row>
    <row r="2054" spans="1:29" ht="18" x14ac:dyDescent="0.4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</row>
    <row r="2055" spans="1:29" ht="18" x14ac:dyDescent="0.4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</row>
    <row r="2056" spans="1:29" ht="18" x14ac:dyDescent="0.4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</row>
    <row r="2057" spans="1:29" ht="18" x14ac:dyDescent="0.4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</row>
    <row r="2058" spans="1:29" ht="18" x14ac:dyDescent="0.4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</row>
    <row r="2059" spans="1:29" ht="18" x14ac:dyDescent="0.4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</row>
    <row r="2060" spans="1:29" ht="18" x14ac:dyDescent="0.4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</row>
    <row r="2061" spans="1:29" ht="18" x14ac:dyDescent="0.4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</row>
    <row r="2062" spans="1:29" ht="18" x14ac:dyDescent="0.4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</row>
    <row r="2063" spans="1:29" ht="18" x14ac:dyDescent="0.4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</row>
    <row r="2064" spans="1:29" ht="18" x14ac:dyDescent="0.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</row>
    <row r="2065" spans="1:29" ht="18" x14ac:dyDescent="0.4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</row>
    <row r="2066" spans="1:29" ht="18" x14ac:dyDescent="0.4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</row>
    <row r="2067" spans="1:29" ht="18" x14ac:dyDescent="0.4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</row>
    <row r="2068" spans="1:29" ht="18" x14ac:dyDescent="0.4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</row>
    <row r="2069" spans="1:29" ht="18" x14ac:dyDescent="0.4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</row>
    <row r="2070" spans="1:29" ht="18" x14ac:dyDescent="0.4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</row>
    <row r="2071" spans="1:29" ht="18" x14ac:dyDescent="0.4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</row>
    <row r="2072" spans="1:29" ht="18" x14ac:dyDescent="0.4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</row>
    <row r="2073" spans="1:29" ht="18" x14ac:dyDescent="0.4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</row>
    <row r="2074" spans="1:29" ht="18" x14ac:dyDescent="0.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</row>
    <row r="2075" spans="1:29" ht="18" x14ac:dyDescent="0.4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</row>
    <row r="2076" spans="1:29" ht="18" x14ac:dyDescent="0.4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</row>
    <row r="2077" spans="1:29" ht="18" x14ac:dyDescent="0.4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</row>
    <row r="2078" spans="1:29" ht="18" x14ac:dyDescent="0.4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</row>
    <row r="2079" spans="1:29" ht="18" x14ac:dyDescent="0.4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</row>
    <row r="2080" spans="1:29" ht="18" x14ac:dyDescent="0.4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</row>
    <row r="2081" spans="1:29" ht="18" x14ac:dyDescent="0.4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</row>
    <row r="2082" spans="1:29" ht="18" x14ac:dyDescent="0.4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</row>
    <row r="2083" spans="1:29" ht="18" x14ac:dyDescent="0.4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</row>
    <row r="2084" spans="1:29" ht="18" x14ac:dyDescent="0.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</row>
    <row r="2085" spans="1:29" ht="18" x14ac:dyDescent="0.4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</row>
    <row r="2086" spans="1:29" ht="18" x14ac:dyDescent="0.4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</row>
    <row r="2087" spans="1:29" ht="18" x14ac:dyDescent="0.4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</row>
    <row r="2088" spans="1:29" ht="18" x14ac:dyDescent="0.4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</row>
    <row r="2089" spans="1:29" ht="18" x14ac:dyDescent="0.4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</row>
    <row r="2090" spans="1:29" ht="18" x14ac:dyDescent="0.4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</row>
    <row r="2091" spans="1:29" ht="18" x14ac:dyDescent="0.4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</row>
    <row r="2092" spans="1:29" ht="18" x14ac:dyDescent="0.4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</row>
    <row r="2093" spans="1:29" ht="18" x14ac:dyDescent="0.4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</row>
    <row r="2094" spans="1:29" ht="18" x14ac:dyDescent="0.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</row>
    <row r="2095" spans="1:29" ht="18" x14ac:dyDescent="0.4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</row>
    <row r="2096" spans="1:29" ht="18" x14ac:dyDescent="0.4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</row>
    <row r="2097" spans="1:29" ht="18" x14ac:dyDescent="0.4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</row>
    <row r="2098" spans="1:29" ht="18" x14ac:dyDescent="0.4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</row>
    <row r="2099" spans="1:29" ht="18" x14ac:dyDescent="0.4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</row>
    <row r="2100" spans="1:29" ht="18" x14ac:dyDescent="0.4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</row>
    <row r="2101" spans="1:29" ht="18" x14ac:dyDescent="0.4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</row>
    <row r="2102" spans="1:29" ht="18" x14ac:dyDescent="0.4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</row>
    <row r="2103" spans="1:29" ht="18" x14ac:dyDescent="0.4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</row>
    <row r="2104" spans="1:29" ht="18" x14ac:dyDescent="0.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</row>
    <row r="2105" spans="1:29" ht="18" x14ac:dyDescent="0.4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</row>
    <row r="2106" spans="1:29" ht="18" x14ac:dyDescent="0.4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</row>
    <row r="2107" spans="1:29" ht="18" x14ac:dyDescent="0.4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</row>
    <row r="2108" spans="1:29" ht="18" x14ac:dyDescent="0.4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</row>
    <row r="2109" spans="1:29" ht="18" x14ac:dyDescent="0.4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</row>
    <row r="2110" spans="1:29" ht="18" x14ac:dyDescent="0.4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</row>
    <row r="2111" spans="1:29" ht="18" x14ac:dyDescent="0.4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</row>
    <row r="2112" spans="1:29" ht="18" x14ac:dyDescent="0.4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</row>
    <row r="2113" spans="1:29" ht="18" x14ac:dyDescent="0.4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</row>
    <row r="2114" spans="1:29" ht="18" x14ac:dyDescent="0.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</row>
    <row r="2115" spans="1:29" ht="18" x14ac:dyDescent="0.4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</row>
    <row r="2116" spans="1:29" ht="18" x14ac:dyDescent="0.4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</row>
    <row r="2117" spans="1:29" ht="18" x14ac:dyDescent="0.4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</row>
    <row r="2118" spans="1:29" ht="18" x14ac:dyDescent="0.4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</row>
    <row r="2119" spans="1:29" ht="18" x14ac:dyDescent="0.4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</row>
    <row r="2120" spans="1:29" ht="18" x14ac:dyDescent="0.4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</row>
    <row r="2121" spans="1:29" ht="18" x14ac:dyDescent="0.4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</row>
    <row r="2122" spans="1:29" ht="18" x14ac:dyDescent="0.4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</row>
    <row r="2123" spans="1:29" ht="18" x14ac:dyDescent="0.4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</row>
    <row r="2124" spans="1:29" ht="18" x14ac:dyDescent="0.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</row>
    <row r="2125" spans="1:29" ht="18" x14ac:dyDescent="0.4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</row>
    <row r="2126" spans="1:29" ht="18" x14ac:dyDescent="0.4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</row>
    <row r="2127" spans="1:29" ht="18" x14ac:dyDescent="0.4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</row>
    <row r="2128" spans="1:29" ht="18" x14ac:dyDescent="0.4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</row>
    <row r="2129" spans="1:29" ht="18" x14ac:dyDescent="0.4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</row>
    <row r="2130" spans="1:29" ht="18" x14ac:dyDescent="0.4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</row>
    <row r="2131" spans="1:29" ht="18" x14ac:dyDescent="0.4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</row>
    <row r="2132" spans="1:29" ht="18" x14ac:dyDescent="0.4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</row>
    <row r="2133" spans="1:29" ht="18" x14ac:dyDescent="0.4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</row>
    <row r="2134" spans="1:29" ht="18" x14ac:dyDescent="0.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</row>
    <row r="2135" spans="1:29" ht="18" x14ac:dyDescent="0.4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</row>
    <row r="2136" spans="1:29" ht="18" x14ac:dyDescent="0.4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</row>
    <row r="2137" spans="1:29" ht="18" x14ac:dyDescent="0.4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</row>
    <row r="2138" spans="1:29" ht="18" x14ac:dyDescent="0.4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</row>
    <row r="2139" spans="1:29" ht="18" x14ac:dyDescent="0.4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</row>
    <row r="2140" spans="1:29" ht="18" x14ac:dyDescent="0.4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</row>
    <row r="2141" spans="1:29" ht="18" x14ac:dyDescent="0.4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</row>
    <row r="2142" spans="1:29" ht="18" x14ac:dyDescent="0.4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</row>
    <row r="2143" spans="1:29" ht="18" x14ac:dyDescent="0.4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</row>
    <row r="2144" spans="1:29" ht="18" x14ac:dyDescent="0.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</row>
    <row r="2145" spans="1:29" ht="18" x14ac:dyDescent="0.4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</row>
    <row r="2146" spans="1:29" ht="18" x14ac:dyDescent="0.4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</row>
    <row r="2147" spans="1:29" ht="18" x14ac:dyDescent="0.4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</row>
    <row r="2148" spans="1:29" ht="18" x14ac:dyDescent="0.4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</row>
    <row r="2149" spans="1:29" ht="18" x14ac:dyDescent="0.4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</row>
    <row r="2150" spans="1:29" ht="18" x14ac:dyDescent="0.4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</row>
    <row r="2151" spans="1:29" ht="18" x14ac:dyDescent="0.4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</row>
    <row r="2152" spans="1:29" ht="18" x14ac:dyDescent="0.4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</row>
    <row r="2153" spans="1:29" ht="18" x14ac:dyDescent="0.4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</row>
    <row r="2154" spans="1:29" ht="18" x14ac:dyDescent="0.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</row>
    <row r="2155" spans="1:29" ht="18" x14ac:dyDescent="0.4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</row>
    <row r="2156" spans="1:29" ht="18" x14ac:dyDescent="0.4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</row>
    <row r="2157" spans="1:29" ht="18" x14ac:dyDescent="0.4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</row>
    <row r="2158" spans="1:29" ht="18" x14ac:dyDescent="0.4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</row>
    <row r="2159" spans="1:29" ht="18" x14ac:dyDescent="0.4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</row>
    <row r="2160" spans="1:29" ht="18" x14ac:dyDescent="0.4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</row>
    <row r="2161" spans="1:29" ht="18" x14ac:dyDescent="0.4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</row>
    <row r="2162" spans="1:29" ht="18" x14ac:dyDescent="0.4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</row>
    <row r="2163" spans="1:29" ht="18" x14ac:dyDescent="0.4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</row>
    <row r="2164" spans="1:29" ht="18" x14ac:dyDescent="0.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</row>
    <row r="2165" spans="1:29" ht="18" x14ac:dyDescent="0.4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</row>
    <row r="2166" spans="1:29" ht="18" x14ac:dyDescent="0.4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</row>
    <row r="2167" spans="1:29" ht="18" x14ac:dyDescent="0.4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</row>
    <row r="2168" spans="1:29" ht="18" x14ac:dyDescent="0.4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</row>
    <row r="2169" spans="1:29" ht="18" x14ac:dyDescent="0.4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</row>
    <row r="2170" spans="1:29" ht="18" x14ac:dyDescent="0.4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</row>
    <row r="2171" spans="1:29" ht="18" x14ac:dyDescent="0.4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</row>
    <row r="2172" spans="1:29" ht="18" x14ac:dyDescent="0.4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</row>
    <row r="2173" spans="1:29" ht="18" x14ac:dyDescent="0.4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</row>
    <row r="2174" spans="1:29" ht="18" x14ac:dyDescent="0.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</row>
    <row r="2175" spans="1:29" ht="18" x14ac:dyDescent="0.4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</row>
    <row r="2176" spans="1:29" ht="18" x14ac:dyDescent="0.4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</row>
    <row r="2177" spans="1:29" ht="18" x14ac:dyDescent="0.4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</row>
    <row r="2178" spans="1:29" ht="18" x14ac:dyDescent="0.4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</row>
    <row r="2179" spans="1:29" ht="18" x14ac:dyDescent="0.4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</row>
    <row r="2180" spans="1:29" ht="18" x14ac:dyDescent="0.4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</row>
    <row r="2181" spans="1:29" ht="18" x14ac:dyDescent="0.4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</row>
    <row r="2182" spans="1:29" ht="18" x14ac:dyDescent="0.4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</row>
    <row r="2183" spans="1:29" ht="18" x14ac:dyDescent="0.4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</row>
    <row r="2184" spans="1:29" ht="18" x14ac:dyDescent="0.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</row>
    <row r="2185" spans="1:29" ht="18" x14ac:dyDescent="0.4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</row>
    <row r="2186" spans="1:29" ht="18" x14ac:dyDescent="0.4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</row>
    <row r="2187" spans="1:29" ht="18" x14ac:dyDescent="0.4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</row>
    <row r="2188" spans="1:29" ht="18" x14ac:dyDescent="0.4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</row>
    <row r="2189" spans="1:29" ht="18" x14ac:dyDescent="0.4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</row>
    <row r="2190" spans="1:29" ht="18" x14ac:dyDescent="0.4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</row>
    <row r="2191" spans="1:29" ht="18" x14ac:dyDescent="0.4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</row>
    <row r="2192" spans="1:29" ht="18" x14ac:dyDescent="0.4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</row>
    <row r="2193" spans="1:29" ht="18" x14ac:dyDescent="0.4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</row>
    <row r="2194" spans="1:29" ht="18" x14ac:dyDescent="0.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</row>
    <row r="2195" spans="1:29" ht="18" x14ac:dyDescent="0.4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</row>
    <row r="2196" spans="1:29" ht="18" x14ac:dyDescent="0.4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</row>
    <row r="2197" spans="1:29" ht="18" x14ac:dyDescent="0.4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</row>
    <row r="2198" spans="1:29" ht="18" x14ac:dyDescent="0.4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</row>
    <row r="2199" spans="1:29" ht="18" x14ac:dyDescent="0.4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</row>
    <row r="2200" spans="1:29" ht="18" x14ac:dyDescent="0.4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</row>
    <row r="2201" spans="1:29" ht="18" x14ac:dyDescent="0.4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</row>
    <row r="2202" spans="1:29" ht="18" x14ac:dyDescent="0.4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</row>
    <row r="2203" spans="1:29" ht="18" x14ac:dyDescent="0.4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</row>
    <row r="2204" spans="1:29" ht="18" x14ac:dyDescent="0.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</row>
    <row r="2205" spans="1:29" ht="18" x14ac:dyDescent="0.4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</row>
    <row r="2206" spans="1:29" ht="18" x14ac:dyDescent="0.4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</row>
    <row r="2207" spans="1:29" ht="18" x14ac:dyDescent="0.4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</row>
    <row r="2208" spans="1:29" ht="18" x14ac:dyDescent="0.4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</row>
    <row r="2209" spans="1:29" ht="18" x14ac:dyDescent="0.4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</row>
    <row r="2210" spans="1:29" ht="18" x14ac:dyDescent="0.4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</row>
    <row r="2211" spans="1:29" ht="18" x14ac:dyDescent="0.4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</row>
    <row r="2212" spans="1:29" ht="18" x14ac:dyDescent="0.4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</row>
    <row r="2213" spans="1:29" ht="18" x14ac:dyDescent="0.4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</row>
    <row r="2214" spans="1:29" ht="18" x14ac:dyDescent="0.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</row>
    <row r="2215" spans="1:29" ht="18" x14ac:dyDescent="0.4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</row>
    <row r="2216" spans="1:29" ht="18" x14ac:dyDescent="0.4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</row>
    <row r="2217" spans="1:29" ht="18" x14ac:dyDescent="0.4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</row>
    <row r="2218" spans="1:29" ht="18" x14ac:dyDescent="0.4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</row>
    <row r="2219" spans="1:29" ht="18" x14ac:dyDescent="0.4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</row>
    <row r="2220" spans="1:29" ht="18" x14ac:dyDescent="0.4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</row>
    <row r="2221" spans="1:29" ht="18" x14ac:dyDescent="0.4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</row>
    <row r="2222" spans="1:29" ht="18" x14ac:dyDescent="0.4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</row>
    <row r="2223" spans="1:29" ht="18" x14ac:dyDescent="0.4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</row>
    <row r="2224" spans="1:29" ht="18" x14ac:dyDescent="0.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</row>
    <row r="2225" spans="1:29" ht="18" x14ac:dyDescent="0.4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</row>
    <row r="2226" spans="1:29" ht="18" x14ac:dyDescent="0.4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</row>
    <row r="2227" spans="1:29" ht="18" x14ac:dyDescent="0.4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</row>
    <row r="2228" spans="1:29" ht="18" x14ac:dyDescent="0.4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</row>
    <row r="2229" spans="1:29" ht="18" x14ac:dyDescent="0.4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</row>
    <row r="2230" spans="1:29" ht="18" x14ac:dyDescent="0.4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</row>
    <row r="2231" spans="1:29" ht="18" x14ac:dyDescent="0.4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</row>
    <row r="2232" spans="1:29" ht="18" x14ac:dyDescent="0.4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</row>
    <row r="2233" spans="1:29" ht="18" x14ac:dyDescent="0.4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</row>
    <row r="2234" spans="1:29" ht="18" x14ac:dyDescent="0.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</row>
    <row r="2235" spans="1:29" ht="18" x14ac:dyDescent="0.4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</row>
    <row r="2236" spans="1:29" ht="18" x14ac:dyDescent="0.4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</row>
    <row r="2237" spans="1:29" ht="18" x14ac:dyDescent="0.4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</row>
    <row r="2238" spans="1:29" ht="18" x14ac:dyDescent="0.4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</row>
    <row r="2239" spans="1:29" ht="18" x14ac:dyDescent="0.4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</row>
    <row r="2240" spans="1:29" ht="18" x14ac:dyDescent="0.4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</row>
    <row r="2241" spans="1:29" ht="18" x14ac:dyDescent="0.4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</row>
    <row r="2242" spans="1:29" ht="18" x14ac:dyDescent="0.4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</row>
    <row r="2243" spans="1:29" ht="18" x14ac:dyDescent="0.4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</row>
    <row r="2244" spans="1:29" ht="18" x14ac:dyDescent="0.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</row>
    <row r="2245" spans="1:29" ht="18" x14ac:dyDescent="0.4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</row>
    <row r="2246" spans="1:29" ht="18" x14ac:dyDescent="0.4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</row>
    <row r="2247" spans="1:29" ht="18" x14ac:dyDescent="0.4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</row>
    <row r="2248" spans="1:29" ht="18" x14ac:dyDescent="0.4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</row>
    <row r="2249" spans="1:29" ht="18" x14ac:dyDescent="0.4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</row>
    <row r="2250" spans="1:29" ht="18" x14ac:dyDescent="0.4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</row>
    <row r="2251" spans="1:29" ht="18" x14ac:dyDescent="0.4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</row>
    <row r="2252" spans="1:29" ht="18" x14ac:dyDescent="0.4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</row>
    <row r="2253" spans="1:29" ht="18" x14ac:dyDescent="0.4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</row>
    <row r="2254" spans="1:29" ht="18" x14ac:dyDescent="0.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</row>
    <row r="2255" spans="1:29" ht="18" x14ac:dyDescent="0.4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</row>
    <row r="2256" spans="1:29" ht="18" x14ac:dyDescent="0.4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</row>
    <row r="2257" spans="1:29" ht="18" x14ac:dyDescent="0.4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</row>
    <row r="2258" spans="1:29" ht="18" x14ac:dyDescent="0.4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</row>
    <row r="2259" spans="1:29" ht="18" x14ac:dyDescent="0.4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</row>
    <row r="2260" spans="1:29" ht="18" x14ac:dyDescent="0.4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</row>
    <row r="2261" spans="1:29" ht="18" x14ac:dyDescent="0.4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</row>
    <row r="2262" spans="1:29" ht="18" x14ac:dyDescent="0.4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</row>
    <row r="2263" spans="1:29" ht="18" x14ac:dyDescent="0.4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</row>
    <row r="2264" spans="1:29" ht="18" x14ac:dyDescent="0.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</row>
    <row r="2265" spans="1:29" ht="18" x14ac:dyDescent="0.4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</row>
    <row r="2266" spans="1:29" ht="18" x14ac:dyDescent="0.4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</row>
    <row r="2267" spans="1:29" ht="18" x14ac:dyDescent="0.4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</row>
    <row r="2268" spans="1:29" ht="18" x14ac:dyDescent="0.4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</row>
    <row r="2269" spans="1:29" ht="18" x14ac:dyDescent="0.4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</row>
    <row r="2270" spans="1:29" ht="18" x14ac:dyDescent="0.4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</row>
    <row r="2271" spans="1:29" ht="18" x14ac:dyDescent="0.4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</row>
    <row r="2272" spans="1:29" ht="18" x14ac:dyDescent="0.4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</row>
    <row r="2273" spans="1:29" ht="18" x14ac:dyDescent="0.4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</row>
    <row r="2274" spans="1:29" ht="18" x14ac:dyDescent="0.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</row>
    <row r="2275" spans="1:29" ht="18" x14ac:dyDescent="0.4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</row>
    <row r="2276" spans="1:29" ht="18" x14ac:dyDescent="0.4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</row>
    <row r="2277" spans="1:29" ht="18" x14ac:dyDescent="0.4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</row>
    <row r="2278" spans="1:29" ht="18" x14ac:dyDescent="0.4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</row>
    <row r="2279" spans="1:29" ht="18" x14ac:dyDescent="0.4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</row>
    <row r="2280" spans="1:29" ht="18" x14ac:dyDescent="0.4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</row>
    <row r="2281" spans="1:29" ht="18" x14ac:dyDescent="0.4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</row>
    <row r="2282" spans="1:29" ht="18" x14ac:dyDescent="0.4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</row>
    <row r="2283" spans="1:29" ht="18" x14ac:dyDescent="0.4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</row>
    <row r="2284" spans="1:29" ht="18" x14ac:dyDescent="0.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</row>
    <row r="2285" spans="1:29" ht="18" x14ac:dyDescent="0.4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</row>
    <row r="2286" spans="1:29" ht="18" x14ac:dyDescent="0.4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</row>
    <row r="2287" spans="1:29" ht="18" x14ac:dyDescent="0.4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</row>
    <row r="2288" spans="1:29" ht="18" x14ac:dyDescent="0.4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</row>
    <row r="2289" spans="1:29" ht="18" x14ac:dyDescent="0.4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</row>
    <row r="2290" spans="1:29" ht="18" x14ac:dyDescent="0.4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</row>
    <row r="2291" spans="1:29" ht="18" x14ac:dyDescent="0.4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</row>
    <row r="2292" spans="1:29" ht="18" x14ac:dyDescent="0.4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</row>
    <row r="2293" spans="1:29" ht="18" x14ac:dyDescent="0.4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</row>
    <row r="2294" spans="1:29" ht="18" x14ac:dyDescent="0.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</row>
    <row r="2295" spans="1:29" ht="18" x14ac:dyDescent="0.4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</row>
    <row r="2296" spans="1:29" ht="18" x14ac:dyDescent="0.4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</row>
    <row r="2297" spans="1:29" ht="18" x14ac:dyDescent="0.4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</row>
    <row r="2298" spans="1:29" ht="18" x14ac:dyDescent="0.4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</row>
    <row r="2299" spans="1:29" ht="18" x14ac:dyDescent="0.4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</row>
    <row r="2300" spans="1:29" ht="18" x14ac:dyDescent="0.4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</row>
    <row r="2301" spans="1:29" ht="18" x14ac:dyDescent="0.4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</row>
    <row r="2302" spans="1:29" ht="18" x14ac:dyDescent="0.4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</row>
    <row r="2303" spans="1:29" ht="18" x14ac:dyDescent="0.4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</row>
    <row r="2304" spans="1:29" ht="18" x14ac:dyDescent="0.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</row>
    <row r="2305" spans="1:29" ht="18" x14ac:dyDescent="0.4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</row>
    <row r="2306" spans="1:29" ht="18" x14ac:dyDescent="0.4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</row>
    <row r="2307" spans="1:29" ht="18" x14ac:dyDescent="0.4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</row>
    <row r="2308" spans="1:29" ht="18" x14ac:dyDescent="0.4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</row>
    <row r="2309" spans="1:29" ht="18" x14ac:dyDescent="0.4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</row>
    <row r="2310" spans="1:29" ht="18" x14ac:dyDescent="0.4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</row>
    <row r="2311" spans="1:29" ht="18" x14ac:dyDescent="0.4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</row>
    <row r="2312" spans="1:29" ht="18" x14ac:dyDescent="0.4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</row>
    <row r="2313" spans="1:29" ht="18" x14ac:dyDescent="0.4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</row>
    <row r="2314" spans="1:29" ht="18" x14ac:dyDescent="0.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</row>
    <row r="2315" spans="1:29" ht="18" x14ac:dyDescent="0.4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</row>
    <row r="2316" spans="1:29" ht="18" x14ac:dyDescent="0.4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</row>
    <row r="2317" spans="1:29" ht="18" x14ac:dyDescent="0.4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</row>
    <row r="2318" spans="1:29" ht="18" x14ac:dyDescent="0.4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</row>
    <row r="2319" spans="1:29" ht="18" x14ac:dyDescent="0.4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</row>
    <row r="2320" spans="1:29" ht="18" x14ac:dyDescent="0.4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</row>
    <row r="2321" spans="1:29" ht="18" x14ac:dyDescent="0.4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</row>
    <row r="2322" spans="1:29" ht="18" x14ac:dyDescent="0.4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</row>
    <row r="2323" spans="1:29" ht="18" x14ac:dyDescent="0.4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</row>
    <row r="2324" spans="1:29" ht="18" x14ac:dyDescent="0.4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</row>
    <row r="2325" spans="1:29" ht="18" x14ac:dyDescent="0.4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</row>
    <row r="2326" spans="1:29" ht="18" x14ac:dyDescent="0.4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</row>
    <row r="2327" spans="1:29" ht="18" x14ac:dyDescent="0.4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</row>
    <row r="2328" spans="1:29" ht="18" x14ac:dyDescent="0.4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</row>
    <row r="2329" spans="1:29" ht="18" x14ac:dyDescent="0.4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</row>
    <row r="2330" spans="1:29" ht="18" x14ac:dyDescent="0.4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</row>
    <row r="2331" spans="1:29" ht="18" x14ac:dyDescent="0.4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</row>
    <row r="2332" spans="1:29" ht="18" x14ac:dyDescent="0.4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</row>
    <row r="2333" spans="1:29" ht="18" x14ac:dyDescent="0.4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</row>
    <row r="2334" spans="1:29" ht="18" x14ac:dyDescent="0.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</row>
    <row r="2335" spans="1:29" ht="18" x14ac:dyDescent="0.4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</row>
    <row r="2336" spans="1:29" ht="18" x14ac:dyDescent="0.4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</row>
    <row r="2337" spans="1:29" ht="18" x14ac:dyDescent="0.4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</row>
    <row r="2338" spans="1:29" ht="18" x14ac:dyDescent="0.4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</row>
    <row r="2339" spans="1:29" ht="18" x14ac:dyDescent="0.4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</row>
    <row r="2340" spans="1:29" ht="18" x14ac:dyDescent="0.4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</row>
    <row r="2341" spans="1:29" ht="18" x14ac:dyDescent="0.4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</row>
    <row r="2342" spans="1:29" ht="18" x14ac:dyDescent="0.4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</row>
    <row r="2343" spans="1:29" ht="18" x14ac:dyDescent="0.4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</row>
    <row r="2344" spans="1:29" ht="18" x14ac:dyDescent="0.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</row>
    <row r="2345" spans="1:29" ht="18" x14ac:dyDescent="0.4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</row>
    <row r="2346" spans="1:29" ht="18" x14ac:dyDescent="0.4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</row>
    <row r="2347" spans="1:29" ht="18" x14ac:dyDescent="0.4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</row>
    <row r="2348" spans="1:29" ht="18" x14ac:dyDescent="0.4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</row>
    <row r="2349" spans="1:29" ht="18" x14ac:dyDescent="0.4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</row>
    <row r="2350" spans="1:29" ht="18" x14ac:dyDescent="0.4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</row>
    <row r="2351" spans="1:29" ht="18" x14ac:dyDescent="0.4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</row>
    <row r="2352" spans="1:29" ht="18" x14ac:dyDescent="0.4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</row>
    <row r="2353" spans="1:29" ht="18" x14ac:dyDescent="0.4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</row>
    <row r="2354" spans="1:29" ht="18" x14ac:dyDescent="0.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</row>
    <row r="2355" spans="1:29" ht="18" x14ac:dyDescent="0.4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</row>
    <row r="2356" spans="1:29" ht="18" x14ac:dyDescent="0.4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</row>
    <row r="2357" spans="1:29" ht="18" x14ac:dyDescent="0.4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</row>
    <row r="2358" spans="1:29" ht="18" x14ac:dyDescent="0.4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</row>
    <row r="2359" spans="1:29" ht="18" x14ac:dyDescent="0.4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</row>
    <row r="2360" spans="1:29" ht="18" x14ac:dyDescent="0.4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</row>
    <row r="2361" spans="1:29" ht="18" x14ac:dyDescent="0.4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</row>
    <row r="2362" spans="1:29" ht="18" x14ac:dyDescent="0.4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</row>
    <row r="2363" spans="1:29" ht="18" x14ac:dyDescent="0.4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</row>
    <row r="2364" spans="1:29" ht="18" x14ac:dyDescent="0.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</row>
    <row r="2365" spans="1:29" ht="18" x14ac:dyDescent="0.4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</row>
    <row r="2366" spans="1:29" ht="18" x14ac:dyDescent="0.4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</row>
    <row r="2367" spans="1:29" ht="18" x14ac:dyDescent="0.4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</row>
    <row r="2368" spans="1:29" ht="18" x14ac:dyDescent="0.4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</row>
    <row r="2369" spans="1:29" ht="18" x14ac:dyDescent="0.4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</row>
    <row r="2370" spans="1:29" ht="18" x14ac:dyDescent="0.4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</row>
    <row r="2371" spans="1:29" ht="18" x14ac:dyDescent="0.4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</row>
    <row r="2372" spans="1:29" ht="18" x14ac:dyDescent="0.4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</row>
    <row r="2373" spans="1:29" ht="18" x14ac:dyDescent="0.4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</row>
    <row r="2374" spans="1:29" ht="18" x14ac:dyDescent="0.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</row>
    <row r="2375" spans="1:29" ht="18" x14ac:dyDescent="0.4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</row>
    <row r="2376" spans="1:29" ht="18" x14ac:dyDescent="0.4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</row>
    <row r="2377" spans="1:29" ht="18" x14ac:dyDescent="0.4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</row>
    <row r="2378" spans="1:29" ht="18" x14ac:dyDescent="0.4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</row>
    <row r="2379" spans="1:29" ht="18" x14ac:dyDescent="0.4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</row>
    <row r="2380" spans="1:29" ht="18" x14ac:dyDescent="0.4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</row>
    <row r="2381" spans="1:29" ht="18" x14ac:dyDescent="0.4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</row>
    <row r="2382" spans="1:29" ht="18" x14ac:dyDescent="0.4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</row>
    <row r="2383" spans="1:29" ht="18" x14ac:dyDescent="0.4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</row>
    <row r="2384" spans="1:29" ht="18" x14ac:dyDescent="0.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</row>
    <row r="2385" spans="1:29" ht="18" x14ac:dyDescent="0.4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</row>
    <row r="2386" spans="1:29" ht="18" x14ac:dyDescent="0.4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</row>
    <row r="2387" spans="1:29" ht="18" x14ac:dyDescent="0.4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</row>
    <row r="2388" spans="1:29" ht="18" x14ac:dyDescent="0.4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</row>
    <row r="2389" spans="1:29" ht="18" x14ac:dyDescent="0.4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</row>
    <row r="2390" spans="1:29" ht="18" x14ac:dyDescent="0.4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</row>
    <row r="2391" spans="1:29" ht="18" x14ac:dyDescent="0.4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</row>
    <row r="2392" spans="1:29" ht="18" x14ac:dyDescent="0.4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</row>
    <row r="2393" spans="1:29" ht="18" x14ac:dyDescent="0.4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</row>
    <row r="2394" spans="1:29" ht="18" x14ac:dyDescent="0.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</row>
    <row r="2395" spans="1:29" ht="18" x14ac:dyDescent="0.4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</row>
    <row r="2396" spans="1:29" ht="18" x14ac:dyDescent="0.4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</row>
    <row r="2397" spans="1:29" ht="18" x14ac:dyDescent="0.4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</row>
    <row r="2398" spans="1:29" ht="18" x14ac:dyDescent="0.4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</row>
    <row r="2399" spans="1:29" ht="18" x14ac:dyDescent="0.4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</row>
    <row r="2400" spans="1:29" ht="18" x14ac:dyDescent="0.4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</row>
    <row r="2401" spans="1:29" ht="18" x14ac:dyDescent="0.4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</row>
    <row r="2402" spans="1:29" ht="18" x14ac:dyDescent="0.4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</row>
    <row r="2403" spans="1:29" ht="18" x14ac:dyDescent="0.4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</row>
    <row r="2404" spans="1:29" ht="18" x14ac:dyDescent="0.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</row>
    <row r="2405" spans="1:29" ht="18" x14ac:dyDescent="0.4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</row>
    <row r="2406" spans="1:29" ht="18" x14ac:dyDescent="0.4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</row>
    <row r="2407" spans="1:29" ht="18" x14ac:dyDescent="0.4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</row>
    <row r="2408" spans="1:29" ht="18" x14ac:dyDescent="0.4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</row>
    <row r="2409" spans="1:29" ht="18" x14ac:dyDescent="0.4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</row>
    <row r="2410" spans="1:29" ht="18" x14ac:dyDescent="0.4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</row>
    <row r="2411" spans="1:29" ht="18" x14ac:dyDescent="0.4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</row>
    <row r="2412" spans="1:29" ht="18" x14ac:dyDescent="0.4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</row>
    <row r="2413" spans="1:29" ht="18" x14ac:dyDescent="0.4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</row>
    <row r="2414" spans="1:29" ht="18" x14ac:dyDescent="0.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</row>
    <row r="2415" spans="1:29" ht="18" x14ac:dyDescent="0.4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</row>
    <row r="2416" spans="1:29" ht="18" x14ac:dyDescent="0.4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</row>
    <row r="2417" spans="1:29" ht="18" x14ac:dyDescent="0.4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</row>
    <row r="2418" spans="1:29" ht="18" x14ac:dyDescent="0.4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</row>
    <row r="2419" spans="1:29" ht="18" x14ac:dyDescent="0.4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</row>
    <row r="2420" spans="1:29" ht="18" x14ac:dyDescent="0.4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</row>
  </sheetData>
  <mergeCells count="59">
    <mergeCell ref="A1:I1"/>
    <mergeCell ref="A2:I2"/>
    <mergeCell ref="A3:H3"/>
    <mergeCell ref="A10:H10"/>
    <mergeCell ref="A9:H9"/>
    <mergeCell ref="A20:H20"/>
    <mergeCell ref="A19:H19"/>
    <mergeCell ref="A27:H27"/>
    <mergeCell ref="A26:H26"/>
    <mergeCell ref="A33:H33"/>
    <mergeCell ref="A34:H34"/>
    <mergeCell ref="A42:H42"/>
    <mergeCell ref="A43:H43"/>
    <mergeCell ref="A50:H50"/>
    <mergeCell ref="A51:H51"/>
    <mergeCell ref="A67:H67"/>
    <mergeCell ref="A68:H68"/>
    <mergeCell ref="A74:H74"/>
    <mergeCell ref="A75:H75"/>
    <mergeCell ref="A83:H83"/>
    <mergeCell ref="A84:H84"/>
    <mergeCell ref="A91:H91"/>
    <mergeCell ref="A92:H92"/>
    <mergeCell ref="A99:H99"/>
    <mergeCell ref="A100:H100"/>
    <mergeCell ref="A106:H106"/>
    <mergeCell ref="A107:H107"/>
    <mergeCell ref="A113:H113"/>
    <mergeCell ref="A114:H114"/>
    <mergeCell ref="A120:H120"/>
    <mergeCell ref="A121:H121"/>
    <mergeCell ref="A127:H127"/>
    <mergeCell ref="A128:H128"/>
    <mergeCell ref="A134:H134"/>
    <mergeCell ref="A135:H135"/>
    <mergeCell ref="A141:H141"/>
    <mergeCell ref="A142:H142"/>
    <mergeCell ref="A148:H148"/>
    <mergeCell ref="A149:H149"/>
    <mergeCell ref="A155:H155"/>
    <mergeCell ref="A156:H156"/>
    <mergeCell ref="A162:H162"/>
    <mergeCell ref="A163:H163"/>
    <mergeCell ref="A169:H169"/>
    <mergeCell ref="A170:H170"/>
    <mergeCell ref="A176:H176"/>
    <mergeCell ref="A177:H177"/>
    <mergeCell ref="A182:H182"/>
    <mergeCell ref="A183:H183"/>
    <mergeCell ref="A189:H189"/>
    <mergeCell ref="A210:H210"/>
    <mergeCell ref="A211:H211"/>
    <mergeCell ref="A217:H217"/>
    <mergeCell ref="A218:H218"/>
    <mergeCell ref="A190:H190"/>
    <mergeCell ref="A196:H196"/>
    <mergeCell ref="A197:H197"/>
    <mergeCell ref="A203:H203"/>
    <mergeCell ref="A204:H204"/>
  </mergeCells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C4D9-2D6B-4ECF-8249-D2971BDCE6E6}">
  <dimension ref="A1:Q649"/>
  <sheetViews>
    <sheetView topLeftCell="A4" workbookViewId="0">
      <selection activeCell="J6" sqref="J6"/>
    </sheetView>
  </sheetViews>
  <sheetFormatPr defaultRowHeight="14.5" x14ac:dyDescent="0.35"/>
  <cols>
    <col min="2" max="2" width="30.7265625" customWidth="1"/>
    <col min="3" max="3" width="11.36328125" customWidth="1"/>
    <col min="4" max="4" width="11.7265625" customWidth="1"/>
  </cols>
  <sheetData>
    <row r="1" spans="1:17" ht="18" x14ac:dyDescent="0.4">
      <c r="A1" s="90" t="s">
        <v>301</v>
      </c>
      <c r="B1" s="90"/>
      <c r="C1" s="90"/>
      <c r="D1" s="9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5" thickBo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8.5" thickBot="1" x14ac:dyDescent="0.45">
      <c r="A3" s="52" t="s">
        <v>196</v>
      </c>
      <c r="B3" s="46" t="s">
        <v>35</v>
      </c>
      <c r="C3" s="47" t="s">
        <v>37</v>
      </c>
      <c r="D3" s="48" t="s">
        <v>38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8" x14ac:dyDescent="0.4">
      <c r="A4" s="89">
        <v>1</v>
      </c>
      <c r="B4" s="49" t="s">
        <v>197</v>
      </c>
      <c r="C4" s="50">
        <v>610000</v>
      </c>
      <c r="D4" s="61" t="s">
        <v>204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8" x14ac:dyDescent="0.4">
      <c r="A5" s="54">
        <v>2</v>
      </c>
      <c r="B5" s="17" t="s">
        <v>143</v>
      </c>
      <c r="C5" s="18">
        <v>80000</v>
      </c>
      <c r="D5" s="25" t="s">
        <v>204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8" x14ac:dyDescent="0.4">
      <c r="A6" s="54">
        <v>3</v>
      </c>
      <c r="B6" s="17" t="s">
        <v>50</v>
      </c>
      <c r="C6" s="18">
        <v>250000</v>
      </c>
      <c r="D6" s="25" t="s">
        <v>204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8" x14ac:dyDescent="0.4">
      <c r="A7" s="54">
        <v>4</v>
      </c>
      <c r="B7" s="17" t="s">
        <v>54</v>
      </c>
      <c r="C7" s="18">
        <v>260000</v>
      </c>
      <c r="D7" s="25" t="s">
        <v>204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8" x14ac:dyDescent="0.4">
      <c r="A8" s="54">
        <v>5</v>
      </c>
      <c r="B8" s="17" t="s">
        <v>69</v>
      </c>
      <c r="C8" s="17" t="s">
        <v>204</v>
      </c>
      <c r="D8" s="25" t="s">
        <v>204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8" x14ac:dyDescent="0.4">
      <c r="A9" s="54">
        <v>6</v>
      </c>
      <c r="B9" s="17" t="s">
        <v>40</v>
      </c>
      <c r="C9" s="18">
        <v>44000</v>
      </c>
      <c r="D9" s="25" t="s">
        <v>204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8" x14ac:dyDescent="0.4">
      <c r="A10" s="54">
        <v>7</v>
      </c>
      <c r="B10" s="17" t="s">
        <v>60</v>
      </c>
      <c r="C10" s="18">
        <v>5000</v>
      </c>
      <c r="D10" s="25" t="s">
        <v>204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8" x14ac:dyDescent="0.4">
      <c r="A11" s="54">
        <v>8</v>
      </c>
      <c r="B11" s="17" t="s">
        <v>198</v>
      </c>
      <c r="C11" s="17" t="s">
        <v>204</v>
      </c>
      <c r="D11" s="24">
        <v>350000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8" x14ac:dyDescent="0.4">
      <c r="A12" s="54">
        <v>9</v>
      </c>
      <c r="B12" s="17" t="s">
        <v>67</v>
      </c>
      <c r="C12" s="17" t="s">
        <v>204</v>
      </c>
      <c r="D12" s="25" t="s">
        <v>204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8" x14ac:dyDescent="0.4">
      <c r="A13" s="54">
        <v>10</v>
      </c>
      <c r="B13" s="17" t="s">
        <v>199</v>
      </c>
      <c r="C13" s="17" t="s">
        <v>204</v>
      </c>
      <c r="D13" s="24">
        <v>10000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8" x14ac:dyDescent="0.4">
      <c r="A14" s="54">
        <v>11</v>
      </c>
      <c r="B14" s="17" t="s">
        <v>72</v>
      </c>
      <c r="C14" s="18">
        <v>15000</v>
      </c>
      <c r="D14" s="25" t="s">
        <v>204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8" x14ac:dyDescent="0.4">
      <c r="A15" s="54">
        <v>12</v>
      </c>
      <c r="B15" s="17" t="s">
        <v>76</v>
      </c>
      <c r="C15" s="18">
        <v>30000</v>
      </c>
      <c r="D15" s="25" t="s">
        <v>204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8" x14ac:dyDescent="0.4">
      <c r="A16" s="54">
        <v>13</v>
      </c>
      <c r="B16" s="17" t="s">
        <v>79</v>
      </c>
      <c r="C16" s="18">
        <v>24000</v>
      </c>
      <c r="D16" s="25" t="s">
        <v>204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8" x14ac:dyDescent="0.4">
      <c r="A17" s="54">
        <v>14</v>
      </c>
      <c r="B17" s="17" t="s">
        <v>83</v>
      </c>
      <c r="C17" s="18">
        <v>10000</v>
      </c>
      <c r="D17" s="25" t="s">
        <v>204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8" x14ac:dyDescent="0.4">
      <c r="A18" s="54">
        <v>15</v>
      </c>
      <c r="B18" s="17" t="s">
        <v>200</v>
      </c>
      <c r="C18" s="17" t="s">
        <v>204</v>
      </c>
      <c r="D18" s="24">
        <v>2000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8" x14ac:dyDescent="0.4">
      <c r="A19" s="54">
        <v>16</v>
      </c>
      <c r="B19" s="17" t="s">
        <v>202</v>
      </c>
      <c r="C19" s="17" t="s">
        <v>204</v>
      </c>
      <c r="D19" s="24">
        <v>1000000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8" x14ac:dyDescent="0.4">
      <c r="A20" s="54">
        <v>17</v>
      </c>
      <c r="B20" s="17" t="s">
        <v>90</v>
      </c>
      <c r="C20" s="18">
        <v>50000</v>
      </c>
      <c r="D20" s="25" t="s">
        <v>204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8" x14ac:dyDescent="0.4">
      <c r="A21" s="54">
        <v>18</v>
      </c>
      <c r="B21" s="17" t="s">
        <v>93</v>
      </c>
      <c r="C21" s="18">
        <v>12000</v>
      </c>
      <c r="D21" s="25" t="s">
        <v>204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8" x14ac:dyDescent="0.4">
      <c r="A22" s="54">
        <v>19</v>
      </c>
      <c r="B22" s="17" t="s">
        <v>201</v>
      </c>
      <c r="C22" s="17" t="s">
        <v>204</v>
      </c>
      <c r="D22" s="24">
        <v>8000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8" x14ac:dyDescent="0.4">
      <c r="A23" s="54">
        <v>20</v>
      </c>
      <c r="B23" s="17" t="s">
        <v>99</v>
      </c>
      <c r="C23" s="18">
        <v>9000</v>
      </c>
      <c r="D23" s="25" t="s">
        <v>204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8" x14ac:dyDescent="0.4">
      <c r="A24" s="54">
        <v>21</v>
      </c>
      <c r="B24" s="17" t="s">
        <v>297</v>
      </c>
      <c r="C24" s="17" t="s">
        <v>204</v>
      </c>
      <c r="D24" s="24">
        <v>80000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8" x14ac:dyDescent="0.4">
      <c r="A25" s="54">
        <v>22</v>
      </c>
      <c r="B25" s="17" t="s">
        <v>105</v>
      </c>
      <c r="C25" s="17" t="s">
        <v>204</v>
      </c>
      <c r="D25" s="25" t="s">
        <v>204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8" x14ac:dyDescent="0.4">
      <c r="A26" s="54">
        <v>23</v>
      </c>
      <c r="B26" s="17" t="s">
        <v>111</v>
      </c>
      <c r="C26" s="18">
        <v>20000</v>
      </c>
      <c r="D26" s="25" t="s">
        <v>204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" x14ac:dyDescent="0.4">
      <c r="A27" s="54">
        <v>24</v>
      </c>
      <c r="B27" s="17" t="s">
        <v>114</v>
      </c>
      <c r="C27" s="18">
        <v>15000</v>
      </c>
      <c r="D27" s="25" t="s">
        <v>204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8" x14ac:dyDescent="0.4">
      <c r="A28" s="54">
        <v>25</v>
      </c>
      <c r="B28" s="17" t="s">
        <v>298</v>
      </c>
      <c r="C28" s="17" t="s">
        <v>204</v>
      </c>
      <c r="D28" s="24">
        <v>6000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8" x14ac:dyDescent="0.4">
      <c r="A29" s="54">
        <v>26</v>
      </c>
      <c r="B29" s="17" t="s">
        <v>289</v>
      </c>
      <c r="C29" s="18">
        <v>10000</v>
      </c>
      <c r="D29" s="25" t="s">
        <v>204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8" x14ac:dyDescent="0.4">
      <c r="A30" s="54">
        <v>27</v>
      </c>
      <c r="B30" s="17" t="s">
        <v>123</v>
      </c>
      <c r="C30" s="18">
        <v>4000</v>
      </c>
      <c r="D30" s="25" t="s">
        <v>204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8" x14ac:dyDescent="0.4">
      <c r="A31" s="54">
        <v>28</v>
      </c>
      <c r="B31" s="17" t="s">
        <v>126</v>
      </c>
      <c r="C31" s="18">
        <v>8000</v>
      </c>
      <c r="D31" s="25" t="s">
        <v>204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8.5" thickBot="1" x14ac:dyDescent="0.45">
      <c r="A32" s="55"/>
      <c r="B32" s="56"/>
      <c r="C32" s="56"/>
      <c r="D32" s="5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8.5" thickBot="1" x14ac:dyDescent="0.45">
      <c r="A33" s="91" t="s">
        <v>203</v>
      </c>
      <c r="B33" s="92"/>
      <c r="C33" s="58">
        <f>SUM(C4:C31)</f>
        <v>1456000</v>
      </c>
      <c r="D33" s="59">
        <f>SUM(D11:D31)</f>
        <v>1456000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</sheetData>
  <mergeCells count="2">
    <mergeCell ref="A1:D1"/>
    <mergeCell ref="A33:B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214E-B1AD-4E2F-8C83-76CAA91803EA}">
  <dimension ref="A1:DC886"/>
  <sheetViews>
    <sheetView workbookViewId="0">
      <selection activeCell="A12" sqref="A12"/>
    </sheetView>
  </sheetViews>
  <sheetFormatPr defaultRowHeight="14.5" x14ac:dyDescent="0.35"/>
  <cols>
    <col min="1" max="1" width="25.7265625" customWidth="1"/>
    <col min="2" max="2" width="14.1796875" customWidth="1"/>
    <col min="3" max="3" width="15.453125" customWidth="1"/>
    <col min="4" max="4" width="22.26953125" customWidth="1"/>
    <col min="5" max="5" width="15.54296875" customWidth="1"/>
    <col min="6" max="6" width="15" customWidth="1"/>
  </cols>
  <sheetData>
    <row r="1" spans="1:107" ht="18" x14ac:dyDescent="0.4">
      <c r="A1" s="90" t="s">
        <v>206</v>
      </c>
      <c r="B1" s="90"/>
      <c r="C1" s="90"/>
      <c r="D1" s="90"/>
      <c r="E1" s="90"/>
      <c r="F1" s="9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18.5" thickBot="1" x14ac:dyDescent="0.45">
      <c r="A2" s="102" t="s">
        <v>217</v>
      </c>
      <c r="B2" s="102"/>
      <c r="C2" s="102"/>
      <c r="D2" s="102"/>
      <c r="E2" s="102"/>
      <c r="F2" s="10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18.5" thickBot="1" x14ac:dyDescent="0.45">
      <c r="A3" s="14" t="s">
        <v>35</v>
      </c>
      <c r="B3" s="15" t="s">
        <v>130</v>
      </c>
      <c r="C3" s="15" t="s">
        <v>130</v>
      </c>
      <c r="D3" s="15" t="s">
        <v>35</v>
      </c>
      <c r="E3" s="15" t="s">
        <v>130</v>
      </c>
      <c r="F3" s="16" t="s">
        <v>130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18" x14ac:dyDescent="0.4">
      <c r="A4" s="19" t="s">
        <v>207</v>
      </c>
      <c r="B4" s="20" t="s">
        <v>216</v>
      </c>
      <c r="C4" s="20" t="s">
        <v>216</v>
      </c>
      <c r="D4" s="20" t="s">
        <v>209</v>
      </c>
      <c r="E4" s="21">
        <v>350000</v>
      </c>
      <c r="F4" s="2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18.5" thickBot="1" x14ac:dyDescent="0.45">
      <c r="A5" s="23" t="s">
        <v>208</v>
      </c>
      <c r="B5" s="18">
        <v>260000</v>
      </c>
      <c r="C5" s="17"/>
      <c r="D5" s="17" t="s">
        <v>212</v>
      </c>
      <c r="E5" s="18">
        <v>15000</v>
      </c>
      <c r="F5" s="24">
        <f>E4-E5</f>
        <v>335000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</row>
    <row r="6" spans="1:107" ht="18.5" thickBot="1" x14ac:dyDescent="0.45">
      <c r="A6" s="23" t="s">
        <v>211</v>
      </c>
      <c r="B6" s="33">
        <v>10000</v>
      </c>
      <c r="C6" s="18">
        <f>B5-B6</f>
        <v>250000</v>
      </c>
      <c r="D6" s="17" t="s">
        <v>210</v>
      </c>
      <c r="E6" s="20"/>
      <c r="F6" s="51">
        <v>175000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</row>
    <row r="7" spans="1:107" ht="18" x14ac:dyDescent="0.4">
      <c r="A7" s="87" t="s">
        <v>299</v>
      </c>
      <c r="B7" s="21"/>
      <c r="C7" s="18"/>
      <c r="D7" s="17"/>
      <c r="E7" s="49"/>
      <c r="F7" s="6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</row>
    <row r="8" spans="1:107" ht="18" x14ac:dyDescent="0.4">
      <c r="A8" s="23" t="s">
        <v>213</v>
      </c>
      <c r="B8" s="60"/>
      <c r="C8" s="18">
        <v>20000</v>
      </c>
      <c r="D8" s="17"/>
      <c r="E8" s="17"/>
      <c r="F8" s="2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</row>
    <row r="9" spans="1:107" ht="18" x14ac:dyDescent="0.4">
      <c r="A9" s="23" t="s">
        <v>214</v>
      </c>
      <c r="B9" s="36"/>
      <c r="C9" s="18">
        <v>5000</v>
      </c>
      <c r="D9" s="17"/>
      <c r="E9" s="17"/>
      <c r="F9" s="2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</row>
    <row r="10" spans="1:107" ht="18" x14ac:dyDescent="0.4">
      <c r="A10" s="23" t="s">
        <v>215</v>
      </c>
      <c r="B10" s="17"/>
      <c r="C10" s="18">
        <f>SUM(F11)-SUM(C6:C9)</f>
        <v>235000</v>
      </c>
      <c r="D10" s="17"/>
      <c r="E10" s="17"/>
      <c r="F10" s="2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</row>
    <row r="11" spans="1:107" ht="18.5" thickBot="1" x14ac:dyDescent="0.45">
      <c r="A11" s="26"/>
      <c r="B11" s="27"/>
      <c r="C11" s="34">
        <f>F11</f>
        <v>510000</v>
      </c>
      <c r="D11" s="27"/>
      <c r="E11" s="27"/>
      <c r="F11" s="35">
        <f>SUM(F5:F6)</f>
        <v>510000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</row>
    <row r="12" spans="1:107" ht="18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</row>
    <row r="13" spans="1:107" ht="18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</row>
    <row r="14" spans="1:107" ht="18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</row>
    <row r="15" spans="1:107" ht="18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</row>
    <row r="16" spans="1:107" ht="18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</row>
    <row r="17" spans="1:107" ht="18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</row>
    <row r="18" spans="1:107" ht="18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</row>
    <row r="19" spans="1:107" ht="18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</row>
    <row r="20" spans="1:107" ht="18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</row>
    <row r="21" spans="1:107" ht="1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</row>
    <row r="22" spans="1:107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</row>
    <row r="23" spans="1:107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</row>
    <row r="24" spans="1:107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1:107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</row>
    <row r="26" spans="1:107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</row>
    <row r="37" spans="1:107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</row>
    <row r="38" spans="1:107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</row>
    <row r="39" spans="1:107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</row>
    <row r="40" spans="1:107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</row>
    <row r="41" spans="1:107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</row>
    <row r="42" spans="1:107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 spans="1:107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 spans="1:107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</row>
    <row r="346" spans="1:107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 spans="1:107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 spans="1:107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 spans="1:107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 spans="1:107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 spans="1:107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 spans="1:107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 spans="1:107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 spans="1:107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 spans="1:107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 spans="1:107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 spans="1:107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 spans="1:107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 spans="1:107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 spans="1:107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</row>
    <row r="361" spans="1:107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</row>
    <row r="362" spans="1:107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</row>
    <row r="363" spans="1:107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</row>
    <row r="364" spans="1:107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  <row r="365" spans="1:107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</row>
    <row r="366" spans="1:107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</row>
    <row r="367" spans="1:107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</row>
    <row r="368" spans="1:107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</row>
    <row r="369" spans="1:107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</row>
    <row r="370" spans="1:107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</row>
    <row r="371" spans="1:107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</row>
    <row r="372" spans="1:107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</row>
    <row r="373" spans="1:107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</row>
    <row r="374" spans="1:107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</row>
    <row r="375" spans="1:107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</row>
    <row r="376" spans="1:107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</row>
    <row r="377" spans="1:107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</row>
    <row r="378" spans="1:107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</row>
    <row r="379" spans="1:107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</row>
    <row r="380" spans="1:107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</row>
    <row r="381" spans="1:107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</row>
    <row r="382" spans="1:107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</row>
    <row r="383" spans="1:107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</row>
    <row r="384" spans="1:107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</row>
    <row r="385" spans="1:107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</row>
    <row r="386" spans="1:107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</row>
    <row r="387" spans="1:107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</row>
    <row r="388" spans="1:107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</row>
    <row r="389" spans="1:107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</row>
    <row r="390" spans="1:107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</row>
    <row r="391" spans="1:107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</row>
    <row r="392" spans="1:107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</row>
    <row r="393" spans="1:107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</row>
    <row r="394" spans="1:107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</row>
    <row r="395" spans="1:107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</row>
    <row r="396" spans="1:107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</row>
    <row r="397" spans="1:107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</row>
    <row r="398" spans="1:107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</row>
    <row r="399" spans="1:107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</row>
    <row r="400" spans="1:107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</row>
    <row r="401" spans="1:107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</row>
    <row r="402" spans="1:107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</row>
    <row r="403" spans="1:107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</row>
    <row r="404" spans="1:107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</row>
    <row r="405" spans="1:107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</row>
    <row r="406" spans="1:107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</row>
    <row r="407" spans="1:107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</row>
    <row r="408" spans="1:107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</row>
    <row r="409" spans="1:107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</row>
    <row r="410" spans="1:107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</row>
    <row r="411" spans="1:107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</row>
    <row r="412" spans="1:107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</row>
    <row r="413" spans="1:107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</row>
    <row r="414" spans="1:107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</row>
    <row r="415" spans="1:107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</row>
    <row r="416" spans="1:107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</row>
    <row r="417" spans="1:107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</row>
    <row r="418" spans="1:107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</row>
    <row r="419" spans="1:107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</row>
    <row r="420" spans="1:107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</row>
    <row r="421" spans="1:107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</row>
    <row r="422" spans="1:107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</row>
    <row r="423" spans="1:107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</row>
    <row r="424" spans="1:107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</row>
    <row r="425" spans="1:107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</row>
    <row r="426" spans="1:107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</row>
    <row r="427" spans="1:107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</row>
    <row r="428" spans="1:107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</row>
    <row r="429" spans="1:107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</row>
    <row r="430" spans="1:107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</row>
    <row r="431" spans="1:107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</row>
    <row r="432" spans="1:107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</row>
    <row r="433" spans="1:107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</row>
    <row r="434" spans="1:107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</row>
    <row r="435" spans="1:107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</row>
    <row r="436" spans="1:107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</row>
    <row r="437" spans="1:107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</row>
    <row r="438" spans="1:107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</row>
    <row r="439" spans="1:107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</row>
    <row r="440" spans="1:107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</row>
    <row r="441" spans="1:107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</row>
    <row r="442" spans="1:107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</row>
    <row r="443" spans="1:107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</row>
    <row r="444" spans="1:107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</row>
    <row r="445" spans="1:107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</row>
    <row r="446" spans="1:107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</row>
    <row r="447" spans="1:107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</row>
    <row r="448" spans="1:107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</row>
    <row r="449" spans="1:107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</row>
    <row r="450" spans="1:107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</row>
    <row r="451" spans="1:107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</row>
    <row r="452" spans="1:107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</row>
    <row r="453" spans="1:107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</row>
    <row r="454" spans="1:107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</row>
    <row r="455" spans="1:107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</row>
    <row r="456" spans="1:107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</row>
    <row r="457" spans="1:107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</row>
    <row r="458" spans="1:107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</row>
    <row r="459" spans="1:107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</row>
    <row r="460" spans="1:107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</row>
    <row r="461" spans="1:107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</row>
    <row r="462" spans="1:107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</row>
    <row r="463" spans="1:107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</row>
    <row r="464" spans="1:107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</row>
    <row r="465" spans="1:107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</row>
    <row r="466" spans="1:107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</row>
    <row r="467" spans="1:107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</row>
    <row r="468" spans="1:107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</row>
    <row r="469" spans="1:107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</row>
    <row r="470" spans="1:107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</row>
    <row r="471" spans="1:107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</row>
    <row r="472" spans="1:107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</row>
    <row r="473" spans="1:107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</row>
    <row r="474" spans="1:107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</row>
    <row r="475" spans="1:107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</row>
    <row r="476" spans="1:107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</row>
    <row r="477" spans="1:107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</row>
    <row r="478" spans="1:107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</row>
    <row r="479" spans="1:107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</row>
    <row r="480" spans="1:107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</row>
    <row r="481" spans="1:107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</row>
    <row r="482" spans="1:107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</row>
    <row r="483" spans="1:107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</row>
    <row r="484" spans="1:107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</row>
    <row r="485" spans="1:107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</row>
    <row r="486" spans="1:107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</row>
    <row r="487" spans="1:107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</row>
    <row r="488" spans="1:107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</row>
    <row r="489" spans="1:107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</row>
    <row r="490" spans="1:107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</row>
    <row r="491" spans="1:107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</row>
    <row r="492" spans="1:107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</row>
    <row r="493" spans="1:107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</row>
    <row r="494" spans="1:107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</row>
    <row r="495" spans="1:107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</row>
    <row r="496" spans="1:107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</row>
    <row r="497" spans="1:107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</row>
    <row r="498" spans="1:107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</row>
    <row r="499" spans="1:107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</row>
    <row r="500" spans="1:107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</row>
    <row r="501" spans="1:107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</row>
    <row r="502" spans="1:107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</row>
    <row r="503" spans="1:107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</row>
    <row r="504" spans="1:107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</row>
    <row r="505" spans="1:107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</row>
    <row r="506" spans="1:107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</row>
    <row r="507" spans="1:107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</row>
    <row r="508" spans="1:107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</row>
    <row r="509" spans="1:107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</row>
    <row r="510" spans="1:107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</row>
    <row r="511" spans="1:107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</row>
    <row r="512" spans="1:107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</row>
    <row r="513" spans="1:107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</row>
    <row r="514" spans="1:107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</row>
    <row r="515" spans="1:107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</row>
    <row r="516" spans="1:107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</row>
    <row r="517" spans="1:107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</row>
    <row r="518" spans="1:107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</row>
    <row r="519" spans="1:107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</row>
    <row r="520" spans="1:107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</row>
    <row r="521" spans="1:107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</row>
    <row r="522" spans="1:107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</row>
    <row r="523" spans="1:107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</row>
    <row r="524" spans="1:107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</row>
    <row r="525" spans="1:107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</row>
    <row r="526" spans="1:107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</row>
    <row r="527" spans="1:107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</row>
    <row r="528" spans="1:107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</row>
    <row r="529" spans="1:107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</row>
    <row r="530" spans="1:107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</row>
    <row r="531" spans="1:107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</row>
    <row r="532" spans="1:107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</row>
    <row r="533" spans="1:107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</row>
    <row r="534" spans="1:107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</row>
    <row r="535" spans="1:107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</row>
    <row r="536" spans="1:107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</row>
    <row r="537" spans="1:107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</row>
    <row r="538" spans="1:107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</row>
    <row r="539" spans="1:107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</row>
    <row r="540" spans="1:107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</row>
    <row r="541" spans="1:107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</row>
    <row r="542" spans="1:107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</row>
    <row r="543" spans="1:107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</row>
    <row r="544" spans="1:107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</row>
    <row r="545" spans="1:107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</row>
    <row r="546" spans="1:107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</row>
    <row r="547" spans="1:107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</row>
    <row r="548" spans="1:107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</row>
    <row r="549" spans="1:107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</row>
    <row r="550" spans="1:107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</row>
    <row r="551" spans="1:107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</row>
    <row r="552" spans="1:107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</row>
    <row r="553" spans="1:107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</row>
    <row r="554" spans="1:107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</row>
    <row r="555" spans="1:107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</row>
    <row r="556" spans="1:107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</row>
    <row r="557" spans="1:107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</row>
    <row r="558" spans="1:107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</row>
    <row r="559" spans="1:107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</row>
    <row r="560" spans="1:107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</row>
    <row r="561" spans="1:107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</row>
    <row r="562" spans="1:107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</row>
    <row r="563" spans="1:107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</row>
    <row r="564" spans="1:107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</row>
    <row r="565" spans="1:107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</row>
    <row r="566" spans="1:107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</row>
    <row r="567" spans="1:107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</row>
    <row r="568" spans="1:107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</row>
    <row r="569" spans="1:107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</row>
    <row r="570" spans="1:107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</row>
    <row r="571" spans="1:107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</row>
    <row r="572" spans="1:107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</row>
    <row r="573" spans="1:107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</row>
    <row r="574" spans="1:107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</row>
    <row r="575" spans="1:107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</row>
    <row r="576" spans="1:107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</row>
    <row r="577" spans="1:107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</row>
    <row r="578" spans="1:107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</row>
    <row r="579" spans="1:107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</row>
    <row r="580" spans="1:107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</row>
    <row r="581" spans="1:107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</row>
    <row r="582" spans="1:107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</row>
    <row r="583" spans="1:107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</row>
    <row r="584" spans="1:107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</row>
    <row r="585" spans="1:107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</row>
    <row r="586" spans="1:107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</row>
    <row r="587" spans="1:107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</row>
    <row r="588" spans="1:107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</row>
    <row r="589" spans="1:107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</row>
    <row r="590" spans="1:107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</row>
    <row r="591" spans="1:107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</row>
    <row r="592" spans="1:107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</row>
    <row r="593" spans="1:107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</row>
    <row r="594" spans="1:107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</row>
    <row r="595" spans="1:107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</row>
    <row r="596" spans="1:107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</row>
    <row r="597" spans="1:107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</row>
    <row r="598" spans="1:107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</row>
    <row r="599" spans="1:107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</row>
    <row r="600" spans="1:107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</row>
    <row r="601" spans="1:107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</row>
    <row r="602" spans="1:107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</row>
    <row r="603" spans="1:107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</row>
    <row r="604" spans="1:107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</row>
    <row r="605" spans="1:107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</row>
    <row r="606" spans="1:107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</row>
    <row r="607" spans="1:107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</row>
    <row r="608" spans="1:107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</row>
    <row r="609" spans="1:107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</row>
    <row r="610" spans="1:107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</row>
    <row r="611" spans="1:107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</row>
    <row r="612" spans="1:107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</row>
    <row r="613" spans="1:107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</row>
    <row r="614" spans="1:107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</row>
    <row r="615" spans="1:107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</row>
    <row r="616" spans="1:107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</row>
    <row r="617" spans="1:107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</row>
    <row r="618" spans="1:107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</row>
    <row r="619" spans="1:107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</row>
    <row r="620" spans="1:107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</row>
    <row r="621" spans="1:107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</row>
    <row r="622" spans="1:107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</row>
    <row r="623" spans="1:107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</row>
    <row r="624" spans="1:107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</row>
    <row r="625" spans="1:107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</row>
    <row r="626" spans="1:107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</row>
    <row r="627" spans="1:107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</row>
    <row r="628" spans="1:107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</row>
    <row r="629" spans="1:107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</row>
    <row r="630" spans="1:107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</row>
    <row r="631" spans="1:107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</row>
    <row r="632" spans="1:107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</row>
    <row r="633" spans="1:107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</row>
    <row r="634" spans="1:107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</row>
    <row r="635" spans="1:107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</row>
    <row r="636" spans="1:107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</row>
    <row r="637" spans="1:107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</row>
    <row r="638" spans="1:107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</row>
    <row r="639" spans="1:107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</row>
    <row r="640" spans="1:107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</row>
    <row r="641" spans="1:107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</row>
    <row r="642" spans="1:107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</row>
    <row r="643" spans="1:107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</row>
    <row r="644" spans="1:107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</row>
    <row r="645" spans="1:107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</row>
    <row r="646" spans="1:107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</row>
    <row r="647" spans="1:107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</row>
    <row r="648" spans="1:107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</row>
    <row r="649" spans="1:107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</row>
    <row r="650" spans="1:107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</row>
    <row r="651" spans="1:107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</row>
    <row r="652" spans="1:107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</row>
    <row r="653" spans="1:107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</row>
    <row r="654" spans="1:107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</row>
    <row r="655" spans="1:107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</row>
    <row r="656" spans="1:107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</row>
    <row r="657" spans="1:107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</row>
    <row r="658" spans="1:107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</row>
    <row r="659" spans="1:107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</row>
    <row r="660" spans="1:107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</row>
    <row r="661" spans="1:107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</row>
    <row r="662" spans="1:107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</row>
    <row r="663" spans="1:107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</row>
    <row r="664" spans="1:107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</row>
    <row r="665" spans="1:107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</row>
    <row r="666" spans="1:107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</row>
    <row r="667" spans="1:107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</row>
    <row r="668" spans="1:107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</row>
    <row r="669" spans="1:107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</row>
    <row r="670" spans="1:107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</row>
    <row r="671" spans="1:107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</row>
    <row r="672" spans="1:107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</row>
    <row r="673" spans="1:107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</row>
    <row r="674" spans="1:107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</row>
    <row r="675" spans="1:107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</row>
    <row r="676" spans="1:107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</row>
    <row r="677" spans="1:107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</row>
    <row r="678" spans="1:107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</row>
    <row r="679" spans="1:107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</row>
    <row r="680" spans="1:107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</row>
    <row r="681" spans="1:107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</row>
    <row r="682" spans="1:107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</row>
    <row r="683" spans="1:107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</row>
    <row r="684" spans="1:107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</row>
    <row r="685" spans="1:107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</row>
    <row r="686" spans="1:107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</row>
    <row r="687" spans="1:107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</row>
    <row r="688" spans="1:107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</row>
    <row r="689" spans="1:107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</row>
    <row r="690" spans="1:107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</row>
    <row r="691" spans="1:107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</row>
    <row r="692" spans="1:107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</row>
    <row r="693" spans="1:107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</row>
    <row r="694" spans="1:107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</row>
    <row r="695" spans="1:107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</row>
    <row r="696" spans="1:107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</row>
    <row r="697" spans="1:107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</row>
    <row r="698" spans="1:107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</row>
    <row r="699" spans="1:107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</row>
    <row r="700" spans="1:107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</row>
    <row r="701" spans="1:107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</row>
    <row r="702" spans="1:107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</row>
    <row r="703" spans="1:107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</row>
    <row r="704" spans="1:107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</row>
    <row r="705" spans="1:107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</row>
    <row r="706" spans="1:107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</row>
    <row r="707" spans="1:107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</row>
    <row r="708" spans="1:107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</row>
    <row r="709" spans="1:107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</row>
    <row r="710" spans="1:107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</row>
    <row r="711" spans="1:107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</row>
    <row r="712" spans="1:107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</row>
    <row r="713" spans="1:107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</row>
    <row r="714" spans="1:107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</row>
    <row r="715" spans="1:107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</row>
    <row r="716" spans="1:107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</row>
    <row r="717" spans="1:107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</row>
    <row r="718" spans="1:107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</row>
    <row r="719" spans="1:107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</row>
    <row r="720" spans="1:107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</row>
    <row r="721" spans="1:107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</row>
    <row r="722" spans="1:107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</row>
    <row r="723" spans="1:107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</row>
    <row r="724" spans="1:107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</row>
    <row r="725" spans="1:107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</row>
    <row r="726" spans="1:107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</row>
    <row r="727" spans="1:107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</row>
    <row r="728" spans="1:107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</row>
    <row r="729" spans="1:107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</row>
    <row r="730" spans="1:107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</row>
    <row r="731" spans="1:107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</row>
    <row r="732" spans="1:107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</row>
    <row r="733" spans="1:107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</row>
    <row r="734" spans="1:107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</row>
    <row r="735" spans="1:107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</row>
    <row r="736" spans="1:107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</row>
    <row r="737" spans="1:107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</row>
    <row r="738" spans="1:107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</row>
    <row r="739" spans="1:107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</row>
    <row r="740" spans="1:107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</row>
    <row r="741" spans="1:107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</row>
    <row r="742" spans="1:107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</row>
    <row r="743" spans="1:107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</row>
    <row r="744" spans="1:107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</row>
    <row r="745" spans="1:107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</row>
    <row r="746" spans="1:107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</row>
    <row r="747" spans="1:107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</row>
    <row r="748" spans="1:107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</row>
    <row r="749" spans="1:107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</row>
    <row r="750" spans="1:107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</row>
    <row r="751" spans="1:107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</row>
    <row r="752" spans="1:107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</row>
    <row r="753" spans="1:107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</row>
    <row r="754" spans="1:107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</row>
    <row r="755" spans="1:107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</row>
    <row r="756" spans="1:107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</row>
    <row r="757" spans="1:107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</row>
    <row r="758" spans="1:107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</row>
    <row r="759" spans="1:107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</row>
    <row r="760" spans="1:107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</row>
    <row r="761" spans="1:107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</row>
    <row r="762" spans="1:107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</row>
    <row r="763" spans="1:107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</row>
    <row r="764" spans="1:107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</row>
    <row r="765" spans="1:107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</row>
    <row r="766" spans="1:107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</row>
    <row r="767" spans="1:107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</row>
    <row r="768" spans="1:107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</row>
    <row r="769" spans="1:107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</row>
    <row r="770" spans="1:107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</row>
    <row r="771" spans="1:107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</row>
    <row r="772" spans="1:107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</row>
    <row r="773" spans="1:107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</row>
    <row r="774" spans="1:107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</row>
    <row r="775" spans="1:107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</row>
    <row r="776" spans="1:107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</row>
    <row r="777" spans="1:107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</row>
    <row r="778" spans="1:107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</row>
    <row r="779" spans="1:107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</row>
    <row r="780" spans="1:107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</row>
    <row r="781" spans="1:107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</row>
    <row r="782" spans="1:107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</row>
    <row r="783" spans="1:107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</row>
    <row r="784" spans="1:107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</row>
    <row r="785" spans="1:107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</row>
    <row r="786" spans="1:107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</row>
    <row r="787" spans="1:107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</row>
    <row r="788" spans="1:107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</row>
    <row r="789" spans="1:107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</row>
    <row r="790" spans="1:107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</row>
    <row r="791" spans="1:107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</row>
    <row r="792" spans="1:107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</row>
    <row r="793" spans="1:107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</row>
    <row r="794" spans="1:107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</row>
    <row r="795" spans="1:107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</row>
    <row r="796" spans="1:107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</row>
    <row r="797" spans="1:107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</row>
    <row r="798" spans="1:107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</row>
    <row r="799" spans="1:107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</row>
    <row r="800" spans="1:107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</row>
    <row r="801" spans="1:107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</row>
    <row r="802" spans="1:107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</row>
    <row r="803" spans="1:107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</row>
    <row r="804" spans="1:107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</row>
    <row r="805" spans="1:107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</row>
    <row r="806" spans="1:107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</row>
    <row r="807" spans="1:107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</row>
    <row r="808" spans="1:107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</row>
    <row r="809" spans="1:107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</row>
    <row r="810" spans="1:107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</row>
    <row r="811" spans="1:107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</row>
    <row r="812" spans="1:107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</row>
    <row r="813" spans="1:107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</row>
    <row r="814" spans="1:107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</row>
    <row r="815" spans="1:107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</row>
    <row r="816" spans="1:107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</row>
    <row r="817" spans="1:107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</row>
    <row r="818" spans="1:107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</row>
    <row r="819" spans="1:107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</row>
    <row r="820" spans="1:107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</row>
    <row r="821" spans="1:107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</row>
    <row r="822" spans="1:107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</row>
    <row r="823" spans="1:107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</row>
    <row r="824" spans="1:107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</row>
    <row r="825" spans="1:107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</row>
    <row r="826" spans="1:107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</row>
    <row r="827" spans="1:107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</row>
    <row r="828" spans="1:107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</row>
    <row r="829" spans="1:107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</row>
    <row r="830" spans="1:107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</row>
    <row r="831" spans="1:107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</row>
    <row r="832" spans="1:107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</row>
    <row r="833" spans="1:107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</row>
    <row r="834" spans="1:107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</row>
    <row r="835" spans="1:107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</row>
    <row r="836" spans="1:107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</row>
    <row r="837" spans="1:107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</row>
    <row r="838" spans="1:107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</row>
    <row r="839" spans="1:107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</row>
    <row r="840" spans="1:107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</row>
    <row r="841" spans="1:107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</row>
    <row r="842" spans="1:107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</row>
    <row r="843" spans="1:107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</row>
    <row r="844" spans="1:107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</row>
    <row r="845" spans="1:107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</row>
    <row r="846" spans="1:107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</row>
    <row r="847" spans="1:107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</row>
    <row r="848" spans="1:107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</row>
    <row r="849" spans="1:107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</row>
    <row r="850" spans="1:107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</row>
    <row r="851" spans="1:107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</row>
    <row r="852" spans="1:107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</row>
    <row r="853" spans="1:107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</row>
    <row r="854" spans="1:107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</row>
    <row r="855" spans="1:107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</row>
    <row r="856" spans="1:107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</row>
    <row r="857" spans="1:107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</row>
    <row r="858" spans="1:107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</row>
    <row r="859" spans="1:107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</row>
    <row r="860" spans="1:107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</row>
    <row r="861" spans="1:107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</row>
    <row r="862" spans="1:107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</row>
    <row r="863" spans="1:107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</row>
    <row r="864" spans="1:107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</row>
    <row r="865" spans="1:107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</row>
    <row r="866" spans="1:107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</row>
    <row r="867" spans="1:107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</row>
    <row r="868" spans="1:107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</row>
    <row r="869" spans="1:107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</row>
    <row r="870" spans="1:107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</row>
    <row r="871" spans="1:107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</row>
    <row r="872" spans="1:107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</row>
    <row r="873" spans="1:107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</row>
    <row r="874" spans="1:107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</row>
    <row r="875" spans="1:107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</row>
    <row r="876" spans="1:107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</row>
    <row r="877" spans="1:107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</row>
    <row r="878" spans="1:107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</row>
    <row r="879" spans="1:107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</row>
    <row r="880" spans="1:107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</row>
    <row r="881" spans="1:107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</row>
    <row r="882" spans="1:107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</row>
    <row r="883" spans="1:107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</row>
    <row r="884" spans="1:107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</row>
    <row r="885" spans="1:107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</row>
    <row r="886" spans="1:107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F712-D256-4B30-B089-27E27214A6DF}">
  <dimension ref="A1:BP519"/>
  <sheetViews>
    <sheetView topLeftCell="A6" workbookViewId="0">
      <selection activeCell="A20" sqref="A20"/>
    </sheetView>
  </sheetViews>
  <sheetFormatPr defaultRowHeight="14.5" x14ac:dyDescent="0.35"/>
  <cols>
    <col min="1" max="1" width="44.26953125" customWidth="1"/>
    <col min="2" max="2" width="13.81640625" customWidth="1"/>
    <col min="3" max="3" width="15.36328125" customWidth="1"/>
    <col min="4" max="4" width="45.1796875" customWidth="1"/>
    <col min="5" max="5" width="14.54296875" customWidth="1"/>
    <col min="6" max="6" width="13.36328125" customWidth="1"/>
  </cols>
  <sheetData>
    <row r="1" spans="1:68" ht="18" x14ac:dyDescent="0.4">
      <c r="A1" s="90" t="s">
        <v>218</v>
      </c>
      <c r="B1" s="90"/>
      <c r="C1" s="90"/>
      <c r="D1" s="90"/>
      <c r="E1" s="90"/>
      <c r="F1" s="9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18.5" thickBot="1" x14ac:dyDescent="0.45">
      <c r="A2" s="102" t="s">
        <v>314</v>
      </c>
      <c r="B2" s="102"/>
      <c r="C2" s="102"/>
      <c r="D2" s="102"/>
      <c r="E2" s="102"/>
      <c r="F2" s="10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18.5" thickBot="1" x14ac:dyDescent="0.45">
      <c r="A3" s="14" t="s">
        <v>35</v>
      </c>
      <c r="B3" s="15" t="s">
        <v>130</v>
      </c>
      <c r="C3" s="15" t="s">
        <v>130</v>
      </c>
      <c r="D3" s="15" t="s">
        <v>35</v>
      </c>
      <c r="E3" s="15" t="s">
        <v>130</v>
      </c>
      <c r="F3" s="16" t="s">
        <v>130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18" x14ac:dyDescent="0.4">
      <c r="A4" s="19" t="s">
        <v>219</v>
      </c>
      <c r="B4" s="21">
        <v>30000</v>
      </c>
      <c r="C4" s="84"/>
      <c r="D4" s="20" t="s">
        <v>223</v>
      </c>
      <c r="E4" s="20"/>
      <c r="F4" s="30">
        <v>235000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18.5" thickBot="1" x14ac:dyDescent="0.45">
      <c r="A5" s="23" t="s">
        <v>309</v>
      </c>
      <c r="B5" s="33">
        <v>5000</v>
      </c>
      <c r="C5" s="18">
        <f>SUM(B4:B5)</f>
        <v>35000</v>
      </c>
      <c r="D5" s="17" t="s">
        <v>222</v>
      </c>
      <c r="E5" s="17"/>
      <c r="F5" s="24">
        <v>2000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18" x14ac:dyDescent="0.4">
      <c r="A6" s="23" t="s">
        <v>220</v>
      </c>
      <c r="B6" s="49"/>
      <c r="C6" s="18">
        <v>24000</v>
      </c>
      <c r="D6" s="17" t="s">
        <v>225</v>
      </c>
      <c r="E6" s="17"/>
      <c r="F6" s="24">
        <v>8000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1:68" ht="18" x14ac:dyDescent="0.4">
      <c r="A7" s="23" t="s">
        <v>221</v>
      </c>
      <c r="B7" s="17"/>
      <c r="C7" s="18">
        <v>10000</v>
      </c>
      <c r="D7" s="17" t="s">
        <v>228</v>
      </c>
      <c r="E7" s="17"/>
      <c r="F7" s="24">
        <v>6000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1:68" ht="18" x14ac:dyDescent="0.4">
      <c r="A8" s="23" t="s">
        <v>224</v>
      </c>
      <c r="B8" s="18">
        <v>12000</v>
      </c>
      <c r="C8" s="36"/>
      <c r="D8" s="36"/>
      <c r="E8" s="36"/>
      <c r="F8" s="8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1:68" ht="18.5" thickBot="1" x14ac:dyDescent="0.45">
      <c r="A9" s="23" t="s">
        <v>310</v>
      </c>
      <c r="B9" s="33">
        <v>2000</v>
      </c>
      <c r="C9" s="18">
        <f>B8-B9</f>
        <v>10000</v>
      </c>
      <c r="D9" s="17"/>
      <c r="E9" s="17"/>
      <c r="F9" s="2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1:68" ht="18" x14ac:dyDescent="0.4">
      <c r="A10" s="23" t="s">
        <v>226</v>
      </c>
      <c r="B10" s="49"/>
      <c r="C10" s="18">
        <v>9000</v>
      </c>
      <c r="D10" s="17"/>
      <c r="E10" s="17"/>
      <c r="F10" s="2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1:68" ht="18" x14ac:dyDescent="0.4">
      <c r="A11" s="23" t="s">
        <v>227</v>
      </c>
      <c r="B11" s="17"/>
      <c r="C11" s="18">
        <v>15000</v>
      </c>
      <c r="D11" s="17"/>
      <c r="E11" s="17"/>
      <c r="F11" s="2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1:68" ht="18" x14ac:dyDescent="0.4">
      <c r="A12" s="23" t="s">
        <v>300</v>
      </c>
      <c r="B12" s="17"/>
      <c r="C12" s="18">
        <v>10000</v>
      </c>
      <c r="D12" s="17"/>
      <c r="E12" s="17"/>
      <c r="F12" s="2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1:68" ht="18" x14ac:dyDescent="0.4">
      <c r="A13" s="23" t="s">
        <v>229</v>
      </c>
      <c r="B13" s="17"/>
      <c r="C13" s="18">
        <v>4000</v>
      </c>
      <c r="D13" s="17"/>
      <c r="E13" s="17"/>
      <c r="F13" s="2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1:68" ht="18" x14ac:dyDescent="0.4">
      <c r="A14" s="23" t="s">
        <v>230</v>
      </c>
      <c r="B14" s="17"/>
      <c r="C14" s="18">
        <v>8000</v>
      </c>
      <c r="D14" s="17"/>
      <c r="E14" s="17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5" spans="1:68" ht="18" x14ac:dyDescent="0.4">
      <c r="A15" s="23" t="s">
        <v>311</v>
      </c>
      <c r="B15" s="17"/>
      <c r="C15" s="18">
        <v>8000</v>
      </c>
      <c r="D15" s="17"/>
      <c r="E15" s="17"/>
      <c r="F15" s="2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</row>
    <row r="16" spans="1:68" ht="18" x14ac:dyDescent="0.4">
      <c r="A16" s="23" t="s">
        <v>312</v>
      </c>
      <c r="B16" s="17"/>
      <c r="C16" s="18">
        <v>25000</v>
      </c>
      <c r="D16" s="17"/>
      <c r="E16" s="17"/>
      <c r="F16" s="2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</row>
    <row r="17" spans="1:68" ht="18" x14ac:dyDescent="0.4">
      <c r="A17" s="23" t="s">
        <v>313</v>
      </c>
      <c r="B17" s="17"/>
      <c r="C17" s="18">
        <v>10000</v>
      </c>
      <c r="D17" s="17"/>
      <c r="E17" s="17"/>
      <c r="F17" s="2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</row>
    <row r="18" spans="1:68" ht="18" x14ac:dyDescent="0.4">
      <c r="A18" s="23" t="s">
        <v>335</v>
      </c>
      <c r="B18" s="17"/>
      <c r="C18" s="18">
        <f>SUM(F19)-SUM(C5:C17)</f>
        <v>83000</v>
      </c>
      <c r="D18" s="17"/>
      <c r="E18" s="17"/>
      <c r="F18" s="2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</row>
    <row r="19" spans="1:68" ht="18.5" thickBot="1" x14ac:dyDescent="0.45">
      <c r="A19" s="26"/>
      <c r="B19" s="27"/>
      <c r="C19" s="34">
        <f>F19</f>
        <v>251000</v>
      </c>
      <c r="D19" s="27"/>
      <c r="E19" s="27"/>
      <c r="F19" s="35">
        <f>SUM(F4:F7)</f>
        <v>251000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</row>
    <row r="20" spans="1:68" ht="18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</row>
    <row r="21" spans="1:68" ht="1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</row>
    <row r="22" spans="1:68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</row>
    <row r="23" spans="1:68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</row>
    <row r="24" spans="1:68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</row>
    <row r="25" spans="1:68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</row>
    <row r="26" spans="1:68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</row>
    <row r="27" spans="1:68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</row>
    <row r="28" spans="1:68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</row>
    <row r="29" spans="1:68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</row>
    <row r="30" spans="1:68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</row>
    <row r="31" spans="1:68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</row>
    <row r="32" spans="1:68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</row>
    <row r="33" spans="1:68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</row>
    <row r="34" spans="1:68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</row>
    <row r="35" spans="1:68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</row>
    <row r="36" spans="1:68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</row>
    <row r="37" spans="1:68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</row>
    <row r="38" spans="1:68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 spans="1:68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 spans="1:68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 spans="1:68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spans="1:68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</row>
    <row r="43" spans="1:68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</row>
    <row r="44" spans="1:68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</row>
    <row r="45" spans="1:68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spans="1:68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spans="1:68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spans="1:68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spans="1:68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spans="1:68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spans="1:68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spans="1:68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spans="1:68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spans="1:68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spans="1:68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spans="1:68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spans="1:68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spans="1:68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 spans="1:68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 spans="1:68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 spans="1:68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spans="1:68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 spans="1:68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 spans="1:68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 spans="1:68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spans="1:68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spans="1:68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spans="1:68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spans="1:68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spans="1:68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spans="1:68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 spans="1:68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 spans="1:68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 spans="1:68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spans="1:68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 spans="1:68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spans="1:68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spans="1:68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spans="1:68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spans="1:68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spans="1:68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spans="1:68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 spans="1:68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 spans="1:68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 spans="1:68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 spans="1:68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spans="1:68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 spans="1:68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 spans="1:68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spans="1:68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spans="1:68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spans="1:68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spans="1:68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 spans="1:68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 spans="1:68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spans="1:68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spans="1:68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spans="1:68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spans="1:68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spans="1:68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spans="1:68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spans="1:68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spans="1:68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spans="1:68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spans="1:68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spans="1:68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spans="1:68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spans="1:68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spans="1:68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spans="1:68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spans="1:68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spans="1:68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spans="1:68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spans="1:68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spans="1:68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spans="1:68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spans="1:68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spans="1:68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spans="1:68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spans="1:68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spans="1:68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spans="1:68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spans="1:68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spans="1:68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spans="1:68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spans="1:68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spans="1:68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spans="1:68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spans="1:68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spans="1:68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spans="1:68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spans="1:68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spans="1:68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34" spans="1:68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</row>
    <row r="135" spans="1:68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 spans="1:68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spans="1:68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 spans="1:68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spans="1:68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 spans="1:68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 spans="1:68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 spans="1:68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spans="1:68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 spans="1:68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 spans="1:68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 spans="1:68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 spans="1:68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 spans="1:68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 spans="1:68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 spans="1:68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 spans="1:68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 spans="1:68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spans="1:68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 spans="1:68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spans="1:68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 spans="1:68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 spans="1:68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 spans="1:68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 spans="1:68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 spans="1:68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 spans="1:68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 spans="1:68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 spans="1:68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</row>
    <row r="164" spans="1:68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spans="1:68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spans="1:68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spans="1:68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spans="1:68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spans="1:68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spans="1:68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spans="1:68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spans="1:68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spans="1:68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spans="1:68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spans="1:68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spans="1:68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spans="1:68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spans="1:68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spans="1:68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spans="1:68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spans="1:68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spans="1:68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spans="1:68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spans="1:68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spans="1:68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spans="1:68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spans="1:68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spans="1:68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spans="1:68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spans="1:68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spans="1:68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spans="1:68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spans="1:68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spans="1:68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spans="1:68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spans="1:68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</row>
    <row r="197" spans="1:68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</row>
    <row r="198" spans="1:68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 spans="1:68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</row>
    <row r="200" spans="1:68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</row>
    <row r="201" spans="1:68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</row>
    <row r="202" spans="1:68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</row>
    <row r="203" spans="1:68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</row>
    <row r="204" spans="1:68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</row>
    <row r="205" spans="1:68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</row>
    <row r="206" spans="1:68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</row>
    <row r="207" spans="1:68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</row>
    <row r="208" spans="1:68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</row>
    <row r="209" spans="1:68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spans="1:68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spans="1:68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spans="1:68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spans="1:68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spans="1:68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 spans="1:68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spans="1:68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spans="1:68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 spans="1:68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</row>
    <row r="219" spans="1:68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</row>
    <row r="220" spans="1:68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</row>
    <row r="221" spans="1:68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</row>
    <row r="222" spans="1:68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</row>
    <row r="223" spans="1:68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</row>
    <row r="224" spans="1:68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 spans="1:68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 spans="1:68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</row>
    <row r="227" spans="1:68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spans="1:68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</row>
    <row r="229" spans="1:68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 spans="1:68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 spans="1:68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</row>
    <row r="232" spans="1:68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</row>
    <row r="233" spans="1:68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 spans="1:68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</row>
    <row r="235" spans="1:68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</row>
    <row r="236" spans="1:68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</row>
    <row r="237" spans="1:68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</row>
    <row r="238" spans="1:68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</row>
    <row r="239" spans="1:68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</row>
    <row r="240" spans="1:68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</row>
    <row r="241" spans="1:68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</row>
    <row r="242" spans="1:68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</row>
    <row r="243" spans="1:68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</row>
    <row r="244" spans="1:68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</row>
    <row r="245" spans="1:68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</row>
    <row r="246" spans="1:68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</row>
    <row r="247" spans="1:68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 spans="1:68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</row>
    <row r="249" spans="1:68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</row>
    <row r="250" spans="1:68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 spans="1:68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</row>
    <row r="252" spans="1:68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</row>
    <row r="253" spans="1:68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</row>
    <row r="254" spans="1:68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 spans="1:68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</row>
    <row r="256" spans="1:68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</row>
    <row r="257" spans="1:68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 spans="1:68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 spans="1:68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spans="1:68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 spans="1:68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</row>
    <row r="262" spans="1:68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</row>
    <row r="263" spans="1:68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</row>
    <row r="264" spans="1:68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</row>
    <row r="265" spans="1:68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</row>
    <row r="266" spans="1:68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</row>
    <row r="267" spans="1:68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</row>
    <row r="268" spans="1:68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</row>
    <row r="269" spans="1:68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</row>
    <row r="270" spans="1:68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</row>
    <row r="271" spans="1:68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</row>
    <row r="272" spans="1:68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</row>
    <row r="273" spans="1:68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</row>
    <row r="274" spans="1:68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</row>
    <row r="275" spans="1:68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</row>
    <row r="276" spans="1:68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</row>
    <row r="277" spans="1:68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</row>
    <row r="278" spans="1:68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</row>
    <row r="279" spans="1:68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</row>
    <row r="280" spans="1:68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</row>
    <row r="281" spans="1:68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</row>
    <row r="282" spans="1:68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</row>
    <row r="283" spans="1:68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</row>
    <row r="284" spans="1:68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</row>
    <row r="285" spans="1:68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</row>
    <row r="286" spans="1:68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</row>
    <row r="287" spans="1:68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</row>
    <row r="288" spans="1:68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spans="1:68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spans="1:68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</row>
    <row r="291" spans="1:68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</row>
    <row r="292" spans="1:68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</row>
    <row r="293" spans="1:68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</row>
    <row r="294" spans="1:68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</row>
    <row r="295" spans="1:68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</row>
    <row r="296" spans="1:68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 spans="1:68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</row>
    <row r="298" spans="1:68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</row>
    <row r="299" spans="1:68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 spans="1:68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</row>
    <row r="301" spans="1:68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</row>
    <row r="302" spans="1:68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</row>
    <row r="303" spans="1:68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</row>
    <row r="304" spans="1:68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</row>
    <row r="305" spans="1:68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</row>
    <row r="306" spans="1:68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</row>
    <row r="307" spans="1:68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</row>
    <row r="308" spans="1:68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</row>
    <row r="309" spans="1:68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</row>
    <row r="310" spans="1:68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</row>
    <row r="311" spans="1:68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</row>
    <row r="312" spans="1:68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</row>
    <row r="313" spans="1:68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</row>
    <row r="314" spans="1:68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</row>
    <row r="315" spans="1:68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</row>
    <row r="316" spans="1:68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</row>
    <row r="317" spans="1:68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</row>
    <row r="318" spans="1:68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</row>
    <row r="319" spans="1:68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</row>
    <row r="320" spans="1:68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</row>
    <row r="321" spans="1:68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spans="1:68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</row>
    <row r="323" spans="1:68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</row>
    <row r="324" spans="1:68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</row>
    <row r="325" spans="1:68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</row>
    <row r="326" spans="1:68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</row>
    <row r="327" spans="1:68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</row>
    <row r="328" spans="1:68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</row>
    <row r="329" spans="1:68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</row>
    <row r="330" spans="1:68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</row>
    <row r="331" spans="1:68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</row>
    <row r="332" spans="1:68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</row>
    <row r="333" spans="1:68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</row>
    <row r="334" spans="1:68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</row>
    <row r="335" spans="1:68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</row>
    <row r="336" spans="1:68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</row>
    <row r="337" spans="1:68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</row>
    <row r="338" spans="1:68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</row>
    <row r="339" spans="1:68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</row>
    <row r="340" spans="1:68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</row>
    <row r="341" spans="1:68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</row>
    <row r="342" spans="1:68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</row>
    <row r="343" spans="1:68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</row>
    <row r="344" spans="1:68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</row>
    <row r="345" spans="1:68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</row>
    <row r="346" spans="1:68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</row>
    <row r="347" spans="1:68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</row>
    <row r="348" spans="1:68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</row>
    <row r="349" spans="1:68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</row>
    <row r="350" spans="1:68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</row>
    <row r="351" spans="1:68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</row>
    <row r="352" spans="1:68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spans="1:68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</row>
    <row r="354" spans="1:68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</row>
    <row r="355" spans="1:68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</row>
    <row r="356" spans="1:68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</row>
    <row r="357" spans="1:68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</row>
    <row r="358" spans="1:68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</row>
    <row r="359" spans="1:68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</row>
    <row r="360" spans="1:68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</row>
    <row r="361" spans="1:68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</row>
    <row r="362" spans="1:68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</row>
    <row r="363" spans="1:68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</row>
    <row r="364" spans="1:68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</row>
    <row r="365" spans="1:68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</row>
    <row r="366" spans="1:68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</row>
    <row r="367" spans="1:68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</row>
    <row r="368" spans="1:68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</row>
    <row r="369" spans="1:68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</row>
    <row r="370" spans="1:68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</row>
    <row r="371" spans="1:68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</row>
    <row r="372" spans="1:68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</row>
    <row r="373" spans="1:68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</row>
    <row r="374" spans="1:68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</row>
    <row r="375" spans="1:68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</row>
    <row r="376" spans="1:68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</row>
    <row r="377" spans="1:68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</row>
    <row r="378" spans="1:68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</row>
    <row r="379" spans="1:68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</row>
    <row r="380" spans="1:68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</row>
    <row r="381" spans="1:68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</row>
    <row r="382" spans="1:68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</row>
    <row r="383" spans="1:68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</row>
    <row r="384" spans="1:68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  <row r="385" spans="1:68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</row>
    <row r="386" spans="1:68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</row>
    <row r="387" spans="1:68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</row>
    <row r="388" spans="1:68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</row>
    <row r="389" spans="1:68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</row>
    <row r="390" spans="1:68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</row>
    <row r="391" spans="1:68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</row>
    <row r="392" spans="1:68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</row>
    <row r="393" spans="1:68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</row>
    <row r="394" spans="1:68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</row>
    <row r="395" spans="1:68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</row>
    <row r="396" spans="1:68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</row>
    <row r="397" spans="1:68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</row>
    <row r="398" spans="1:68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</row>
    <row r="399" spans="1:68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</row>
    <row r="400" spans="1:68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</row>
    <row r="401" spans="1:68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</row>
    <row r="402" spans="1:68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</row>
    <row r="403" spans="1:68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</row>
    <row r="404" spans="1:68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</row>
    <row r="405" spans="1:68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</row>
    <row r="406" spans="1:68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</row>
    <row r="407" spans="1:68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</row>
    <row r="408" spans="1:68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</row>
    <row r="409" spans="1:68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</row>
    <row r="410" spans="1:68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</row>
    <row r="411" spans="1:68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</row>
    <row r="412" spans="1:68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</row>
    <row r="413" spans="1:68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</row>
    <row r="414" spans="1:68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</row>
    <row r="415" spans="1:68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</row>
    <row r="416" spans="1:68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</row>
    <row r="417" spans="1:68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</row>
    <row r="418" spans="1:68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</row>
    <row r="419" spans="1:68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</row>
    <row r="420" spans="1:68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</row>
    <row r="421" spans="1:68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</row>
    <row r="422" spans="1:68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</row>
    <row r="423" spans="1:68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</row>
    <row r="424" spans="1:68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</row>
    <row r="425" spans="1:68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</row>
    <row r="426" spans="1:68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</row>
    <row r="427" spans="1:68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</row>
    <row r="428" spans="1:68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</row>
    <row r="429" spans="1:68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</row>
    <row r="430" spans="1:68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</row>
    <row r="431" spans="1:68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</row>
    <row r="432" spans="1:68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</row>
    <row r="433" spans="1:68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</row>
    <row r="434" spans="1:68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</row>
    <row r="435" spans="1:68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</row>
    <row r="436" spans="1:68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</row>
    <row r="437" spans="1:68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</row>
    <row r="438" spans="1:68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</row>
    <row r="439" spans="1:68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</row>
    <row r="440" spans="1:68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</row>
    <row r="441" spans="1:68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</row>
    <row r="442" spans="1:68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</row>
    <row r="443" spans="1:68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</row>
    <row r="444" spans="1:68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</row>
    <row r="445" spans="1:68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</row>
    <row r="446" spans="1:68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</row>
    <row r="447" spans="1:68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</row>
    <row r="448" spans="1:68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</row>
    <row r="449" spans="1:68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</row>
    <row r="450" spans="1:68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</row>
    <row r="451" spans="1:68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</row>
    <row r="452" spans="1:68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</row>
    <row r="453" spans="1:68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</row>
    <row r="454" spans="1:68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</row>
    <row r="455" spans="1:68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</row>
    <row r="456" spans="1:68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</row>
    <row r="457" spans="1:68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</row>
    <row r="458" spans="1:68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</row>
    <row r="459" spans="1:68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</row>
    <row r="460" spans="1:68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</row>
    <row r="461" spans="1:68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</row>
    <row r="462" spans="1:68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</row>
    <row r="463" spans="1:68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</row>
    <row r="464" spans="1:68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</row>
    <row r="465" spans="1:68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</row>
    <row r="466" spans="1:68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</row>
    <row r="467" spans="1:68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</row>
    <row r="468" spans="1:68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</row>
    <row r="469" spans="1:68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</row>
    <row r="470" spans="1:68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</row>
    <row r="471" spans="1:68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</row>
    <row r="472" spans="1:68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</row>
    <row r="473" spans="1:68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</row>
    <row r="474" spans="1:68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</row>
    <row r="475" spans="1:68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</row>
    <row r="476" spans="1:68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</row>
    <row r="477" spans="1:68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</row>
    <row r="478" spans="1:68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</row>
    <row r="479" spans="1:68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</row>
    <row r="480" spans="1:68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</row>
    <row r="481" spans="1:68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</row>
    <row r="482" spans="1:68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</row>
    <row r="483" spans="1:68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</row>
    <row r="484" spans="1:68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</row>
    <row r="485" spans="1:68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</row>
    <row r="486" spans="1:68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</row>
    <row r="487" spans="1:68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</row>
    <row r="488" spans="1:68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</row>
    <row r="489" spans="1:68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</row>
    <row r="490" spans="1:68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</row>
    <row r="491" spans="1:68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</row>
    <row r="492" spans="1:68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</row>
    <row r="493" spans="1:68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</row>
    <row r="494" spans="1:68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</row>
    <row r="495" spans="1:68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</row>
    <row r="496" spans="1:68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</row>
    <row r="497" spans="1:68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</row>
    <row r="498" spans="1:68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</row>
    <row r="499" spans="1:68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</row>
    <row r="500" spans="1:68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</row>
    <row r="501" spans="1:68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</row>
    <row r="502" spans="1:68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</row>
    <row r="503" spans="1:68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</row>
    <row r="504" spans="1:68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</row>
    <row r="505" spans="1:68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</row>
    <row r="506" spans="1:68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</row>
    <row r="507" spans="1:68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</row>
    <row r="508" spans="1:68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</row>
    <row r="509" spans="1:68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</row>
    <row r="510" spans="1:68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</row>
    <row r="511" spans="1:68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</row>
    <row r="512" spans="1:68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</row>
    <row r="513" spans="1:68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</row>
    <row r="514" spans="1:68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</row>
    <row r="515" spans="1:68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</row>
    <row r="516" spans="1:68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</row>
    <row r="517" spans="1:68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</row>
    <row r="518" spans="1:68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</row>
    <row r="519" spans="1:68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</row>
  </sheetData>
  <mergeCells count="2">
    <mergeCell ref="A2:F2"/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702E-CC1C-49B1-B05A-2968F0D0BC70}">
  <dimension ref="A1:S552"/>
  <sheetViews>
    <sheetView zoomScaleNormal="100" workbookViewId="0">
      <selection activeCell="D14" sqref="D14"/>
    </sheetView>
  </sheetViews>
  <sheetFormatPr defaultRowHeight="14.5" x14ac:dyDescent="0.35"/>
  <cols>
    <col min="1" max="1" width="26.453125" customWidth="1"/>
    <col min="2" max="2" width="14" customWidth="1"/>
    <col min="3" max="3" width="15.1796875" customWidth="1"/>
    <col min="4" max="4" width="31" customWidth="1"/>
    <col min="5" max="5" width="15.26953125" customWidth="1"/>
    <col min="6" max="6" width="17" customWidth="1"/>
    <col min="9" max="9" width="11.1796875" bestFit="1" customWidth="1"/>
  </cols>
  <sheetData>
    <row r="1" spans="1:19" ht="18" x14ac:dyDescent="0.4">
      <c r="A1" s="90" t="s">
        <v>231</v>
      </c>
      <c r="B1" s="90"/>
      <c r="C1" s="90"/>
      <c r="D1" s="90"/>
      <c r="E1" s="90"/>
      <c r="F1" s="9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.5" thickBot="1" x14ac:dyDescent="0.45">
      <c r="A2" s="102"/>
      <c r="B2" s="102"/>
      <c r="C2" s="102"/>
      <c r="D2" s="102"/>
      <c r="E2" s="102"/>
      <c r="F2" s="10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.5" thickBot="1" x14ac:dyDescent="0.45">
      <c r="A3" s="41" t="s">
        <v>336</v>
      </c>
      <c r="B3" s="80" t="s">
        <v>130</v>
      </c>
      <c r="C3" s="80" t="s">
        <v>130</v>
      </c>
      <c r="D3" s="80" t="s">
        <v>337</v>
      </c>
      <c r="E3" s="80" t="s">
        <v>130</v>
      </c>
      <c r="F3" s="81" t="s">
        <v>130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8" x14ac:dyDescent="0.4">
      <c r="A4" s="19" t="s">
        <v>232</v>
      </c>
      <c r="B4" s="21">
        <v>1000000</v>
      </c>
      <c r="C4" s="20"/>
      <c r="D4" s="86" t="s">
        <v>287</v>
      </c>
      <c r="E4" s="84"/>
      <c r="F4" s="85"/>
      <c r="G4" s="1"/>
      <c r="H4" s="1"/>
      <c r="I4" s="119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8.5" thickBot="1" x14ac:dyDescent="0.45">
      <c r="A5" s="23" t="s">
        <v>315</v>
      </c>
      <c r="B5" s="33">
        <v>83000</v>
      </c>
      <c r="C5" s="18">
        <f>SUM(B4:B5)</f>
        <v>1083000</v>
      </c>
      <c r="D5" s="17" t="s">
        <v>197</v>
      </c>
      <c r="E5" s="18">
        <v>610000</v>
      </c>
      <c r="F5" s="82"/>
      <c r="G5" s="1"/>
      <c r="H5" s="1"/>
      <c r="I5" s="119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8.5" thickBot="1" x14ac:dyDescent="0.45">
      <c r="A6" s="87" t="s">
        <v>286</v>
      </c>
      <c r="B6" s="50"/>
      <c r="C6" s="18"/>
      <c r="D6" s="17" t="s">
        <v>40</v>
      </c>
      <c r="E6" s="33">
        <v>44000</v>
      </c>
      <c r="F6" s="24">
        <f>SUM(E5:E6)</f>
        <v>654000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8" x14ac:dyDescent="0.4">
      <c r="A7" s="23" t="s">
        <v>297</v>
      </c>
      <c r="B7" s="17"/>
      <c r="C7" s="18">
        <v>80000</v>
      </c>
      <c r="D7" s="17" t="s">
        <v>317</v>
      </c>
      <c r="E7" s="50"/>
      <c r="F7" s="24">
        <v>175000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8" x14ac:dyDescent="0.4">
      <c r="A8" s="23" t="s">
        <v>318</v>
      </c>
      <c r="B8" s="17"/>
      <c r="C8" s="18">
        <v>5000</v>
      </c>
      <c r="D8" s="17" t="s">
        <v>319</v>
      </c>
      <c r="E8" s="18"/>
      <c r="F8" s="24">
        <v>2000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8" x14ac:dyDescent="0.4">
      <c r="A9" s="40"/>
      <c r="B9" s="36"/>
      <c r="C9" s="36"/>
      <c r="D9" s="83" t="s">
        <v>285</v>
      </c>
      <c r="E9" s="36"/>
      <c r="F9" s="8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8" x14ac:dyDescent="0.4">
      <c r="A10" s="40"/>
      <c r="B10" s="36"/>
      <c r="C10" s="36"/>
      <c r="D10" s="17" t="s">
        <v>50</v>
      </c>
      <c r="E10" s="18">
        <v>250000</v>
      </c>
      <c r="F10" s="8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8.5" thickBot="1" x14ac:dyDescent="0.45">
      <c r="A11" s="23"/>
      <c r="B11" s="17"/>
      <c r="C11" s="17"/>
      <c r="D11" s="17" t="s">
        <v>316</v>
      </c>
      <c r="E11" s="33">
        <v>25000</v>
      </c>
      <c r="F11" s="24">
        <f>E10-E11</f>
        <v>225000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8" x14ac:dyDescent="0.4">
      <c r="A12" s="23"/>
      <c r="B12" s="17"/>
      <c r="C12" s="17"/>
      <c r="D12" s="17" t="s">
        <v>90</v>
      </c>
      <c r="E12" s="50">
        <v>50000</v>
      </c>
      <c r="F12" s="8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8.5" thickBot="1" x14ac:dyDescent="0.45">
      <c r="A13" s="23"/>
      <c r="B13" s="17"/>
      <c r="C13" s="17"/>
      <c r="D13" s="17" t="s">
        <v>316</v>
      </c>
      <c r="E13" s="33">
        <v>10000</v>
      </c>
      <c r="F13" s="24">
        <f>E12-E13</f>
        <v>40000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8" x14ac:dyDescent="0.4">
      <c r="A14" s="23"/>
      <c r="B14" s="17"/>
      <c r="C14" s="17"/>
      <c r="D14" s="17" t="s">
        <v>46</v>
      </c>
      <c r="E14" s="50">
        <v>80000</v>
      </c>
      <c r="F14" s="8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.5" thickBot="1" x14ac:dyDescent="0.45">
      <c r="A15" s="23"/>
      <c r="B15" s="17"/>
      <c r="C15" s="17"/>
      <c r="D15" s="17" t="s">
        <v>316</v>
      </c>
      <c r="E15" s="33">
        <v>8000</v>
      </c>
      <c r="F15" s="24">
        <f>E14-E15</f>
        <v>72000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8" x14ac:dyDescent="0.4">
      <c r="A16" s="23"/>
      <c r="B16" s="17"/>
      <c r="C16" s="17"/>
      <c r="D16" s="36"/>
      <c r="E16" s="60"/>
      <c r="F16" s="8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.5" thickBot="1" x14ac:dyDescent="0.45">
      <c r="A17" s="26"/>
      <c r="B17" s="27"/>
      <c r="C17" s="34">
        <f>SUM(C5:C8)</f>
        <v>1168000</v>
      </c>
      <c r="D17" s="27"/>
      <c r="E17" s="27"/>
      <c r="F17" s="35">
        <f>SUM(F6:F15)</f>
        <v>1168000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8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8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A03C-5ADB-445D-AF5C-B9443296CC75}">
  <dimension ref="A1:S997"/>
  <sheetViews>
    <sheetView tabSelected="1" topLeftCell="C31" workbookViewId="0">
      <selection activeCell="C25" sqref="C25"/>
    </sheetView>
  </sheetViews>
  <sheetFormatPr defaultRowHeight="14.5" x14ac:dyDescent="0.35"/>
  <cols>
    <col min="1" max="1" width="65.1796875" customWidth="1"/>
    <col min="2" max="2" width="100.6328125" customWidth="1"/>
    <col min="3" max="3" width="130" customWidth="1"/>
  </cols>
  <sheetData>
    <row r="1" spans="1:19" ht="18" customHeight="1" x14ac:dyDescent="0.4">
      <c r="A1" s="103" t="s">
        <v>233</v>
      </c>
      <c r="B1" s="104"/>
      <c r="C1" s="62" t="s">
        <v>234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.5" thickBot="1" x14ac:dyDescent="0.45">
      <c r="A2" s="105" t="s">
        <v>235</v>
      </c>
      <c r="B2" s="106"/>
      <c r="C2" s="6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8" customHeight="1" x14ac:dyDescent="0.4">
      <c r="A3" s="64" t="s">
        <v>236</v>
      </c>
      <c r="B3" s="64" t="s">
        <v>237</v>
      </c>
      <c r="C3" s="6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8" x14ac:dyDescent="0.4">
      <c r="A4" s="66"/>
      <c r="B4" s="66"/>
      <c r="C4" s="67" t="s">
        <v>238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8" x14ac:dyDescent="0.4">
      <c r="A5" s="68" t="s">
        <v>239</v>
      </c>
      <c r="B5" s="69">
        <v>831000</v>
      </c>
      <c r="C5" s="67" t="s">
        <v>328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8" customHeight="1" x14ac:dyDescent="0.4">
      <c r="A6" s="68" t="s">
        <v>240</v>
      </c>
      <c r="B6" s="69">
        <v>85000</v>
      </c>
      <c r="C6" s="67" t="s">
        <v>241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8.5" thickBot="1" x14ac:dyDescent="0.45">
      <c r="A7" s="70" t="s">
        <v>242</v>
      </c>
      <c r="B7" s="71">
        <f>B5/B6</f>
        <v>9.7764705882352949</v>
      </c>
      <c r="C7" s="72" t="s">
        <v>243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8" x14ac:dyDescent="0.4">
      <c r="A8" s="64" t="s">
        <v>244</v>
      </c>
      <c r="B8" s="73" t="s">
        <v>245</v>
      </c>
      <c r="C8" s="6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8" x14ac:dyDescent="0.4">
      <c r="A9" s="66"/>
      <c r="B9" s="74"/>
      <c r="C9" s="67" t="s">
        <v>246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8" x14ac:dyDescent="0.4">
      <c r="A10" s="68" t="s">
        <v>247</v>
      </c>
      <c r="B10" s="75">
        <v>654000</v>
      </c>
      <c r="C10" s="67" t="s">
        <v>329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8" customHeight="1" x14ac:dyDescent="0.4">
      <c r="A11" s="68" t="s">
        <v>240</v>
      </c>
      <c r="B11" s="75">
        <v>85000</v>
      </c>
      <c r="C11" s="67" t="s">
        <v>248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8.5" thickBot="1" x14ac:dyDescent="0.45">
      <c r="A12" s="70" t="s">
        <v>249</v>
      </c>
      <c r="B12" s="88">
        <f>B10/B11</f>
        <v>7.6941176470588237</v>
      </c>
      <c r="C12" s="72" t="s">
        <v>250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8" x14ac:dyDescent="0.4">
      <c r="A13" s="64" t="s">
        <v>251</v>
      </c>
      <c r="B13" s="64" t="s">
        <v>252</v>
      </c>
      <c r="C13" s="76" t="s">
        <v>253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8" x14ac:dyDescent="0.4">
      <c r="A14" s="66"/>
      <c r="B14" s="66"/>
      <c r="C14" s="77" t="s">
        <v>330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8" x14ac:dyDescent="0.4">
      <c r="A15" s="68" t="s">
        <v>254</v>
      </c>
      <c r="B15" s="69">
        <v>654000</v>
      </c>
      <c r="C15" s="67" t="s">
        <v>255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8" x14ac:dyDescent="0.4">
      <c r="A16" s="68" t="s">
        <v>240</v>
      </c>
      <c r="B16" s="69">
        <v>85000</v>
      </c>
      <c r="C16" s="67" t="s">
        <v>256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8.5" thickBot="1" x14ac:dyDescent="0.45">
      <c r="A17" s="70" t="s">
        <v>257</v>
      </c>
      <c r="B17" s="78">
        <f>B15/B16</f>
        <v>7.6941176470588237</v>
      </c>
      <c r="C17" s="72" t="s">
        <v>258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18" x14ac:dyDescent="0.4">
      <c r="A18" s="64" t="s">
        <v>259</v>
      </c>
      <c r="B18" s="64" t="s">
        <v>260</v>
      </c>
      <c r="C18" s="6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8" x14ac:dyDescent="0.4">
      <c r="A19" s="66"/>
      <c r="B19" s="66"/>
      <c r="C19" s="67" t="s">
        <v>246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8" x14ac:dyDescent="0.4">
      <c r="A20" s="68" t="s">
        <v>261</v>
      </c>
      <c r="B20" s="69">
        <v>85000</v>
      </c>
      <c r="C20" s="67" t="s">
        <v>288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" x14ac:dyDescent="0.4">
      <c r="A21" s="68" t="s">
        <v>262</v>
      </c>
      <c r="B21" s="69">
        <v>1083000</v>
      </c>
      <c r="C21" s="67" t="s">
        <v>263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8.5" thickBot="1" x14ac:dyDescent="0.45">
      <c r="A22" s="70" t="s">
        <v>264</v>
      </c>
      <c r="B22" s="78">
        <f>B20/B21</f>
        <v>7.8485687903970452E-2</v>
      </c>
      <c r="C22" s="67" t="s">
        <v>265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8" x14ac:dyDescent="0.4">
      <c r="A23" s="64" t="s">
        <v>266</v>
      </c>
      <c r="B23" s="64" t="s">
        <v>267</v>
      </c>
      <c r="C23" s="76" t="s">
        <v>268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8" x14ac:dyDescent="0.4">
      <c r="A24" s="66"/>
      <c r="B24" s="66"/>
      <c r="C24" s="67" t="s">
        <v>331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8" x14ac:dyDescent="0.4">
      <c r="A25" s="68" t="s">
        <v>261</v>
      </c>
      <c r="B25" s="69">
        <v>85000</v>
      </c>
      <c r="C25" s="67" t="s">
        <v>340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8" x14ac:dyDescent="0.4">
      <c r="A26" s="68" t="s">
        <v>269</v>
      </c>
      <c r="B26" s="69">
        <v>1168000</v>
      </c>
      <c r="C26" s="67" t="s">
        <v>270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8.5" thickBot="1" x14ac:dyDescent="0.45">
      <c r="A27" s="70" t="s">
        <v>271</v>
      </c>
      <c r="B27" s="78">
        <f>B25/B26</f>
        <v>7.2773972602739725E-2</v>
      </c>
      <c r="C27" s="72" t="s">
        <v>272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8" x14ac:dyDescent="0.4">
      <c r="A28" s="64" t="s">
        <v>273</v>
      </c>
      <c r="B28" s="64" t="s">
        <v>274</v>
      </c>
      <c r="C28" s="6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8" x14ac:dyDescent="0.4">
      <c r="A29" s="66"/>
      <c r="B29" s="66"/>
      <c r="C29" s="67" t="s">
        <v>275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8" x14ac:dyDescent="0.4">
      <c r="A30" s="68" t="s">
        <v>276</v>
      </c>
      <c r="B30" s="69">
        <v>335000</v>
      </c>
      <c r="C30" s="67" t="s">
        <v>332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8" x14ac:dyDescent="0.4">
      <c r="A31" s="68" t="s">
        <v>269</v>
      </c>
      <c r="B31" s="69">
        <v>1168000</v>
      </c>
      <c r="C31" s="67" t="s">
        <v>339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8.5" thickBot="1" x14ac:dyDescent="0.45">
      <c r="A32" s="70" t="s">
        <v>277</v>
      </c>
      <c r="B32" s="78">
        <f>B30/B31</f>
        <v>0.28681506849315069</v>
      </c>
      <c r="C32" s="67" t="s">
        <v>278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8" x14ac:dyDescent="0.4">
      <c r="A33" s="64" t="s">
        <v>279</v>
      </c>
      <c r="B33" s="64" t="s">
        <v>280</v>
      </c>
      <c r="C33" s="6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8" x14ac:dyDescent="0.4">
      <c r="A34" s="66"/>
      <c r="B34" s="66"/>
      <c r="C34" s="67" t="s">
        <v>281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8" x14ac:dyDescent="0.4">
      <c r="A35" s="68" t="s">
        <v>276</v>
      </c>
      <c r="B35" s="69">
        <v>335000</v>
      </c>
      <c r="C35" s="77" t="s">
        <v>333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8" x14ac:dyDescent="0.4">
      <c r="A36" s="68" t="s">
        <v>282</v>
      </c>
      <c r="B36" s="69">
        <f>B5-B6</f>
        <v>746000</v>
      </c>
      <c r="C36" s="67" t="s">
        <v>338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8.5" thickBot="1" x14ac:dyDescent="0.45">
      <c r="A37" s="70" t="s">
        <v>283</v>
      </c>
      <c r="B37" s="78">
        <f>B35/B36</f>
        <v>0.44906166219839144</v>
      </c>
      <c r="C37" s="79" t="s">
        <v>284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8" x14ac:dyDescent="0.4">
      <c r="A38" s="120" t="s">
        <v>320</v>
      </c>
      <c r="B38" s="120" t="s">
        <v>321</v>
      </c>
      <c r="C38" s="12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8" x14ac:dyDescent="0.4">
      <c r="A39" s="122"/>
      <c r="B39" s="122"/>
      <c r="C39" s="123" t="s">
        <v>322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8" x14ac:dyDescent="0.4">
      <c r="A40" s="124" t="s">
        <v>323</v>
      </c>
      <c r="B40" s="125">
        <v>100000</v>
      </c>
      <c r="C40" s="126" t="s">
        <v>334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8" x14ac:dyDescent="0.4">
      <c r="A41" s="124" t="s">
        <v>324</v>
      </c>
      <c r="B41" s="125">
        <v>87500</v>
      </c>
      <c r="C41" s="123" t="s">
        <v>325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8.5" thickBot="1" x14ac:dyDescent="0.45">
      <c r="A42" s="127" t="s">
        <v>326</v>
      </c>
      <c r="B42" s="129">
        <f>B40/B41</f>
        <v>1.1428571428571428</v>
      </c>
      <c r="C42" s="128" t="s">
        <v>327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8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8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8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8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8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8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8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8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8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8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8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8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8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8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8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8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8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8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8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8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8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8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8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8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8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8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8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8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8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8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8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8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8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8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8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8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8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8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8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8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8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8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8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8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8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8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8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8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8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8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8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8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8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8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8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8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8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8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8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8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8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8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8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8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8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8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8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8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8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8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8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8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8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8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8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8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8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8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8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8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8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8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8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8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8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8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8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8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8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8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8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8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8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8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8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8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8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8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8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8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8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8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8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8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8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8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8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8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8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8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8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8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8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8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8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8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8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8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8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8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8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8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8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8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8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8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8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8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8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8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8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8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8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8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8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8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8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8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8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8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8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8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8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8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8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8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8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8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8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8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8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8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8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8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8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8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8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8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8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8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8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8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8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8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8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8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8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8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8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8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8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8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8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8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8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8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8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8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8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8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8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8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8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8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8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8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8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8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8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8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8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8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8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8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8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8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8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8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8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8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8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8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8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8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8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8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8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8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8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8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8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8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8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8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8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8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8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8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8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8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8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8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8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8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8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8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8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8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8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8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8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8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8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8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8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8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8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8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8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8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8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8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8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8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8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8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8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8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8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8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8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8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8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8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8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8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8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8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8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8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8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8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8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8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8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8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8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8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8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8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8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8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8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8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8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8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8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8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8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8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8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8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8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8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8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8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8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8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8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8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8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8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8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8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8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8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8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8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8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8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8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8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8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8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8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8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8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8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8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8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8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8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8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8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8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8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8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8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8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8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8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8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8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8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8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8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8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8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8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8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8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8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8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8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8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8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8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8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8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8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8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8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8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8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8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8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8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8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8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8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8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8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8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8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8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8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8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8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8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8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8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8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8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8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8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8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8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8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8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8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8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8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8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8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8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8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8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8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8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8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8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8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8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8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8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8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8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8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8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8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8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8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8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8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8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8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8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8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8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8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8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8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8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8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8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8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8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8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8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8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8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8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8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8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8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8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8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8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8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8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8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8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8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8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8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8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8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8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8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8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8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8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8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8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8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8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8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8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8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8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8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8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8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8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8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8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8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8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8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8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8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8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8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8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8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8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8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8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8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8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8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8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8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8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8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8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8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8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8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8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8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8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8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8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8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8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8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8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8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8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8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8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8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8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8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8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8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8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8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8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8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8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8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8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8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8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8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8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8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8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8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8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8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8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8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8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8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8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8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8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8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8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8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8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8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8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8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8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8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8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8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8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8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8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8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8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8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8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8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8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8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8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8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8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8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8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8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8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8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8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8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8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8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8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8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8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8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8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8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8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8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8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8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8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8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8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8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8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8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8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8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8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8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8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8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8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8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8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8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8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8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8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8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8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8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8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8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8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8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8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8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8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8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8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8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8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8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8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8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8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8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8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8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8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8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8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8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8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8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8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8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8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8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8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8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8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8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8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8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8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8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8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8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8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8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8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8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8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8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8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8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8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8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8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8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8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8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8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8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8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8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8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8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8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8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8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8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8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8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8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8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8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8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8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8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8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8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8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8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8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8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8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8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8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8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8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8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8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8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8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8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8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8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8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8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8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8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8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8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8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8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8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8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8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8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8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8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8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8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8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8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8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8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8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8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8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8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8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8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8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8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8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8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8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8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8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8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8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8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8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8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8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8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8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8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8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8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8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8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8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8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8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8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8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8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8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8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8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8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8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8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8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8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8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8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8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8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8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8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8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8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8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8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8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8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8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8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8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8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8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8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8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8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8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8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8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8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8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8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8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8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8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8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8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8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8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8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8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8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8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8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8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8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8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8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8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8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8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8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8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8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8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8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8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8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8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8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8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8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8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8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8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8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8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8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8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8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8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8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8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8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8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8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8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8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8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8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8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8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8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8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8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8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8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8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8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8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8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8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8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8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8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8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8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8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8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8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8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8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8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8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8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8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8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8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8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8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8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8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8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8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8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8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8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8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8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8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8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8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8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8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8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8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8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8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8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8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8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8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8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8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8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8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8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8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8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8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8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8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8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8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8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8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8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8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8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8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8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8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8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8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8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8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8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8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8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8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8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8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8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8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8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8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8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8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8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8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8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8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8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8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8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8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8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8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8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8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8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8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8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8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8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8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8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8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8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8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8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8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8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8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8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8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8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 Entries</vt:lpstr>
      <vt:lpstr>Ledger</vt:lpstr>
      <vt:lpstr>Trial Balance</vt:lpstr>
      <vt:lpstr>Trading Account</vt:lpstr>
      <vt:lpstr>P&amp;L Account</vt:lpstr>
      <vt:lpstr>Balance Sheet 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 KATHIJA</dc:creator>
  <cp:lastModifiedBy>AFRIN KATHIJA</cp:lastModifiedBy>
  <dcterms:created xsi:type="dcterms:W3CDTF">2026-08-25T03:14:49Z</dcterms:created>
  <dcterms:modified xsi:type="dcterms:W3CDTF">2026-08-29T07:55:18Z</dcterms:modified>
</cp:coreProperties>
</file>